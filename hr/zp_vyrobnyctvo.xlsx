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3" i="1" l="1"/>
  <c r="AC430" i="1" l="1"/>
  <c r="U430" i="1"/>
  <c r="O430" i="1"/>
  <c r="I430" i="1"/>
  <c r="E430" i="1"/>
  <c r="U426" i="1"/>
  <c r="O426" i="1"/>
  <c r="I426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D423" i="1"/>
  <c r="C423" i="1"/>
  <c r="B423" i="1"/>
  <c r="AA417" i="1"/>
  <c r="AA430" i="1" s="1"/>
  <c r="AC413" i="1"/>
  <c r="AC426" i="1" s="1"/>
  <c r="AA410" i="1"/>
  <c r="AA423" i="1" s="1"/>
  <c r="Z409" i="1"/>
  <c r="Z422" i="1" s="1"/>
  <c r="Y409" i="1"/>
  <c r="Y422" i="1" s="1"/>
  <c r="X409" i="1"/>
  <c r="X422" i="1" s="1"/>
  <c r="W409" i="1"/>
  <c r="W422" i="1" s="1"/>
  <c r="V409" i="1"/>
  <c r="V422" i="1" s="1"/>
  <c r="U409" i="1"/>
  <c r="U422" i="1" s="1"/>
  <c r="T409" i="1"/>
  <c r="T422" i="1" s="1"/>
  <c r="S409" i="1"/>
  <c r="S422" i="1" s="1"/>
  <c r="R409" i="1"/>
  <c r="R422" i="1" s="1"/>
  <c r="Q409" i="1"/>
  <c r="Q422" i="1" s="1"/>
  <c r="P409" i="1"/>
  <c r="P422" i="1" s="1"/>
  <c r="O409" i="1"/>
  <c r="O422" i="1" s="1"/>
  <c r="N409" i="1"/>
  <c r="N422" i="1" s="1"/>
  <c r="M409" i="1"/>
  <c r="M422" i="1" s="1"/>
  <c r="L409" i="1"/>
  <c r="L422" i="1" s="1"/>
  <c r="K409" i="1"/>
  <c r="K422" i="1" s="1"/>
  <c r="J409" i="1"/>
  <c r="J422" i="1" s="1"/>
  <c r="I409" i="1"/>
  <c r="I422" i="1" s="1"/>
  <c r="H409" i="1"/>
  <c r="H422" i="1" s="1"/>
  <c r="G409" i="1"/>
  <c r="G422" i="1" s="1"/>
  <c r="F409" i="1"/>
  <c r="F422" i="1" s="1"/>
  <c r="Z408" i="1"/>
  <c r="Z421" i="1" s="1"/>
  <c r="Y408" i="1"/>
  <c r="Y421" i="1" s="1"/>
  <c r="X408" i="1"/>
  <c r="X421" i="1" s="1"/>
  <c r="W408" i="1"/>
  <c r="W421" i="1" s="1"/>
  <c r="V408" i="1"/>
  <c r="V421" i="1" s="1"/>
  <c r="U408" i="1"/>
  <c r="U421" i="1" s="1"/>
  <c r="T408" i="1"/>
  <c r="T421" i="1" s="1"/>
  <c r="S408" i="1"/>
  <c r="S421" i="1" s="1"/>
  <c r="R408" i="1"/>
  <c r="R421" i="1" s="1"/>
  <c r="Q408" i="1"/>
  <c r="Q421" i="1" s="1"/>
  <c r="P408" i="1"/>
  <c r="P421" i="1" s="1"/>
  <c r="O408" i="1"/>
  <c r="O421" i="1" s="1"/>
  <c r="N408" i="1"/>
  <c r="N421" i="1" s="1"/>
  <c r="M408" i="1"/>
  <c r="M421" i="1" s="1"/>
  <c r="L408" i="1"/>
  <c r="L421" i="1" s="1"/>
  <c r="K408" i="1"/>
  <c r="K421" i="1" s="1"/>
  <c r="J408" i="1"/>
  <c r="J421" i="1" s="1"/>
  <c r="I408" i="1"/>
  <c r="I421" i="1" s="1"/>
  <c r="H408" i="1"/>
  <c r="H421" i="1" s="1"/>
  <c r="G408" i="1"/>
  <c r="G421" i="1" s="1"/>
  <c r="F408" i="1"/>
  <c r="F421" i="1" s="1"/>
  <c r="F407" i="1"/>
  <c r="F420" i="1" s="1"/>
  <c r="AC403" i="1"/>
  <c r="U403" i="1"/>
  <c r="O403" i="1"/>
  <c r="I403" i="1"/>
  <c r="E403" i="1"/>
  <c r="U399" i="1"/>
  <c r="O399" i="1"/>
  <c r="I399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D396" i="1"/>
  <c r="C396" i="1"/>
  <c r="B396" i="1"/>
  <c r="AA390" i="1"/>
  <c r="AA403" i="1" s="1"/>
  <c r="AC386" i="1"/>
  <c r="AC399" i="1" s="1"/>
  <c r="AA383" i="1"/>
  <c r="Z382" i="1"/>
  <c r="Z395" i="1" s="1"/>
  <c r="Y382" i="1"/>
  <c r="Y395" i="1" s="1"/>
  <c r="X382" i="1"/>
  <c r="X395" i="1" s="1"/>
  <c r="W382" i="1"/>
  <c r="W395" i="1" s="1"/>
  <c r="V382" i="1"/>
  <c r="V395" i="1" s="1"/>
  <c r="U382" i="1"/>
  <c r="U395" i="1" s="1"/>
  <c r="T382" i="1"/>
  <c r="T395" i="1" s="1"/>
  <c r="S382" i="1"/>
  <c r="S395" i="1" s="1"/>
  <c r="R382" i="1"/>
  <c r="R395" i="1" s="1"/>
  <c r="Q382" i="1"/>
  <c r="Q395" i="1" s="1"/>
  <c r="P382" i="1"/>
  <c r="P395" i="1" s="1"/>
  <c r="O382" i="1"/>
  <c r="O395" i="1" s="1"/>
  <c r="N382" i="1"/>
  <c r="N395" i="1" s="1"/>
  <c r="M382" i="1"/>
  <c r="M395" i="1" s="1"/>
  <c r="L382" i="1"/>
  <c r="L395" i="1" s="1"/>
  <c r="K382" i="1"/>
  <c r="K395" i="1" s="1"/>
  <c r="J382" i="1"/>
  <c r="J395" i="1" s="1"/>
  <c r="I382" i="1"/>
  <c r="I395" i="1" s="1"/>
  <c r="H382" i="1"/>
  <c r="H395" i="1" s="1"/>
  <c r="G382" i="1"/>
  <c r="G395" i="1" s="1"/>
  <c r="F382" i="1"/>
  <c r="F395" i="1" s="1"/>
  <c r="Z381" i="1"/>
  <c r="Z394" i="1" s="1"/>
  <c r="Y381" i="1"/>
  <c r="Y394" i="1" s="1"/>
  <c r="X381" i="1"/>
  <c r="X394" i="1" s="1"/>
  <c r="W381" i="1"/>
  <c r="W394" i="1" s="1"/>
  <c r="V381" i="1"/>
  <c r="V394" i="1" s="1"/>
  <c r="U381" i="1"/>
  <c r="U394" i="1" s="1"/>
  <c r="T381" i="1"/>
  <c r="T394" i="1" s="1"/>
  <c r="S381" i="1"/>
  <c r="S394" i="1" s="1"/>
  <c r="R381" i="1"/>
  <c r="R394" i="1" s="1"/>
  <c r="Q381" i="1"/>
  <c r="Q394" i="1" s="1"/>
  <c r="P381" i="1"/>
  <c r="P394" i="1" s="1"/>
  <c r="O381" i="1"/>
  <c r="O394" i="1" s="1"/>
  <c r="N381" i="1"/>
  <c r="N394" i="1" s="1"/>
  <c r="M381" i="1"/>
  <c r="M394" i="1" s="1"/>
  <c r="L381" i="1"/>
  <c r="L394" i="1" s="1"/>
  <c r="K381" i="1"/>
  <c r="K394" i="1" s="1"/>
  <c r="J381" i="1"/>
  <c r="J394" i="1" s="1"/>
  <c r="I381" i="1"/>
  <c r="I394" i="1" s="1"/>
  <c r="H381" i="1"/>
  <c r="H394" i="1" s="1"/>
  <c r="G381" i="1"/>
  <c r="G394" i="1" s="1"/>
  <c r="F381" i="1"/>
  <c r="F394" i="1" s="1"/>
  <c r="F380" i="1"/>
  <c r="F393" i="1" s="1"/>
  <c r="AC376" i="1"/>
  <c r="U376" i="1"/>
  <c r="O376" i="1"/>
  <c r="I376" i="1"/>
  <c r="E376" i="1"/>
  <c r="U372" i="1"/>
  <c r="O372" i="1"/>
  <c r="I372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D369" i="1"/>
  <c r="C369" i="1"/>
  <c r="B369" i="1"/>
  <c r="AA363" i="1"/>
  <c r="AA376" i="1" s="1"/>
  <c r="AC359" i="1"/>
  <c r="AC372" i="1" s="1"/>
  <c r="AA356" i="1"/>
  <c r="AA369" i="1" s="1"/>
  <c r="Z355" i="1"/>
  <c r="Z368" i="1" s="1"/>
  <c r="Y355" i="1"/>
  <c r="Y368" i="1" s="1"/>
  <c r="X355" i="1"/>
  <c r="X368" i="1" s="1"/>
  <c r="W355" i="1"/>
  <c r="W368" i="1" s="1"/>
  <c r="V355" i="1"/>
  <c r="V368" i="1" s="1"/>
  <c r="U355" i="1"/>
  <c r="U368" i="1" s="1"/>
  <c r="T355" i="1"/>
  <c r="T368" i="1" s="1"/>
  <c r="S355" i="1"/>
  <c r="S368" i="1" s="1"/>
  <c r="R355" i="1"/>
  <c r="R368" i="1" s="1"/>
  <c r="Q355" i="1"/>
  <c r="Q368" i="1" s="1"/>
  <c r="P355" i="1"/>
  <c r="P368" i="1" s="1"/>
  <c r="O355" i="1"/>
  <c r="O368" i="1" s="1"/>
  <c r="N355" i="1"/>
  <c r="N368" i="1" s="1"/>
  <c r="M355" i="1"/>
  <c r="M368" i="1" s="1"/>
  <c r="L355" i="1"/>
  <c r="L368" i="1" s="1"/>
  <c r="K355" i="1"/>
  <c r="K368" i="1" s="1"/>
  <c r="J355" i="1"/>
  <c r="J368" i="1" s="1"/>
  <c r="I355" i="1"/>
  <c r="I368" i="1" s="1"/>
  <c r="H355" i="1"/>
  <c r="H368" i="1" s="1"/>
  <c r="G355" i="1"/>
  <c r="G368" i="1" s="1"/>
  <c r="F355" i="1"/>
  <c r="F368" i="1" s="1"/>
  <c r="Z354" i="1"/>
  <c r="Z367" i="1" s="1"/>
  <c r="Y354" i="1"/>
  <c r="Y367" i="1" s="1"/>
  <c r="X354" i="1"/>
  <c r="X367" i="1" s="1"/>
  <c r="W354" i="1"/>
  <c r="W367" i="1" s="1"/>
  <c r="V354" i="1"/>
  <c r="V367" i="1" s="1"/>
  <c r="U354" i="1"/>
  <c r="U367" i="1" s="1"/>
  <c r="T354" i="1"/>
  <c r="T367" i="1" s="1"/>
  <c r="S354" i="1"/>
  <c r="S367" i="1" s="1"/>
  <c r="R354" i="1"/>
  <c r="R367" i="1" s="1"/>
  <c r="Q354" i="1"/>
  <c r="Q367" i="1" s="1"/>
  <c r="P354" i="1"/>
  <c r="P367" i="1" s="1"/>
  <c r="O354" i="1"/>
  <c r="O367" i="1" s="1"/>
  <c r="N354" i="1"/>
  <c r="N367" i="1" s="1"/>
  <c r="M354" i="1"/>
  <c r="M367" i="1" s="1"/>
  <c r="L354" i="1"/>
  <c r="L367" i="1" s="1"/>
  <c r="K354" i="1"/>
  <c r="K367" i="1" s="1"/>
  <c r="J354" i="1"/>
  <c r="J367" i="1" s="1"/>
  <c r="I354" i="1"/>
  <c r="I367" i="1" s="1"/>
  <c r="H354" i="1"/>
  <c r="H367" i="1" s="1"/>
  <c r="G354" i="1"/>
  <c r="G367" i="1" s="1"/>
  <c r="F354" i="1"/>
  <c r="F367" i="1" s="1"/>
  <c r="F353" i="1"/>
  <c r="F366" i="1" s="1"/>
  <c r="AC349" i="1"/>
  <c r="U349" i="1"/>
  <c r="O349" i="1"/>
  <c r="I349" i="1"/>
  <c r="E349" i="1"/>
  <c r="U345" i="1"/>
  <c r="O345" i="1"/>
  <c r="I345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D342" i="1"/>
  <c r="C342" i="1"/>
  <c r="B342" i="1"/>
  <c r="AA336" i="1"/>
  <c r="AA349" i="1" s="1"/>
  <c r="AC332" i="1"/>
  <c r="AC345" i="1" s="1"/>
  <c r="AA329" i="1"/>
  <c r="AA342" i="1" s="1"/>
  <c r="Z328" i="1"/>
  <c r="Z341" i="1" s="1"/>
  <c r="Y328" i="1"/>
  <c r="Y341" i="1" s="1"/>
  <c r="X328" i="1"/>
  <c r="X341" i="1" s="1"/>
  <c r="W328" i="1"/>
  <c r="W341" i="1" s="1"/>
  <c r="V328" i="1"/>
  <c r="V341" i="1" s="1"/>
  <c r="U328" i="1"/>
  <c r="U341" i="1" s="1"/>
  <c r="T328" i="1"/>
  <c r="T341" i="1" s="1"/>
  <c r="S328" i="1"/>
  <c r="S341" i="1" s="1"/>
  <c r="R328" i="1"/>
  <c r="R341" i="1" s="1"/>
  <c r="Q328" i="1"/>
  <c r="Q341" i="1" s="1"/>
  <c r="P328" i="1"/>
  <c r="P341" i="1" s="1"/>
  <c r="O328" i="1"/>
  <c r="O341" i="1" s="1"/>
  <c r="N328" i="1"/>
  <c r="N341" i="1" s="1"/>
  <c r="M328" i="1"/>
  <c r="M341" i="1" s="1"/>
  <c r="L328" i="1"/>
  <c r="L341" i="1" s="1"/>
  <c r="K328" i="1"/>
  <c r="K341" i="1" s="1"/>
  <c r="J328" i="1"/>
  <c r="J341" i="1" s="1"/>
  <c r="I328" i="1"/>
  <c r="I341" i="1" s="1"/>
  <c r="H328" i="1"/>
  <c r="H341" i="1" s="1"/>
  <c r="G328" i="1"/>
  <c r="G341" i="1" s="1"/>
  <c r="F328" i="1"/>
  <c r="F341" i="1" s="1"/>
  <c r="Z327" i="1"/>
  <c r="Z340" i="1" s="1"/>
  <c r="Y327" i="1"/>
  <c r="Y340" i="1" s="1"/>
  <c r="X327" i="1"/>
  <c r="X340" i="1" s="1"/>
  <c r="W327" i="1"/>
  <c r="W340" i="1" s="1"/>
  <c r="V327" i="1"/>
  <c r="V340" i="1" s="1"/>
  <c r="U327" i="1"/>
  <c r="U340" i="1" s="1"/>
  <c r="T327" i="1"/>
  <c r="T340" i="1" s="1"/>
  <c r="S327" i="1"/>
  <c r="S340" i="1" s="1"/>
  <c r="R327" i="1"/>
  <c r="R340" i="1" s="1"/>
  <c r="Q327" i="1"/>
  <c r="Q340" i="1" s="1"/>
  <c r="P327" i="1"/>
  <c r="P340" i="1" s="1"/>
  <c r="O327" i="1"/>
  <c r="O340" i="1" s="1"/>
  <c r="N327" i="1"/>
  <c r="N340" i="1" s="1"/>
  <c r="M327" i="1"/>
  <c r="M340" i="1" s="1"/>
  <c r="L327" i="1"/>
  <c r="L340" i="1" s="1"/>
  <c r="K327" i="1"/>
  <c r="K340" i="1" s="1"/>
  <c r="J327" i="1"/>
  <c r="J340" i="1" s="1"/>
  <c r="I327" i="1"/>
  <c r="I340" i="1" s="1"/>
  <c r="H327" i="1"/>
  <c r="H340" i="1" s="1"/>
  <c r="G327" i="1"/>
  <c r="G340" i="1" s="1"/>
  <c r="F327" i="1"/>
  <c r="F340" i="1" s="1"/>
  <c r="F326" i="1"/>
  <c r="F339" i="1" s="1"/>
  <c r="AC322" i="1"/>
  <c r="U322" i="1"/>
  <c r="O322" i="1"/>
  <c r="I322" i="1"/>
  <c r="E322" i="1"/>
  <c r="U318" i="1"/>
  <c r="O318" i="1"/>
  <c r="I318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D315" i="1"/>
  <c r="C315" i="1"/>
  <c r="B315" i="1"/>
  <c r="AA309" i="1"/>
  <c r="AA322" i="1" s="1"/>
  <c r="AC305" i="1"/>
  <c r="AC318" i="1" s="1"/>
  <c r="AA302" i="1"/>
  <c r="AA315" i="1" s="1"/>
  <c r="Z301" i="1"/>
  <c r="Z314" i="1" s="1"/>
  <c r="Y301" i="1"/>
  <c r="Y314" i="1" s="1"/>
  <c r="X301" i="1"/>
  <c r="X314" i="1" s="1"/>
  <c r="W301" i="1"/>
  <c r="W314" i="1" s="1"/>
  <c r="V301" i="1"/>
  <c r="V314" i="1" s="1"/>
  <c r="U301" i="1"/>
  <c r="U314" i="1" s="1"/>
  <c r="T301" i="1"/>
  <c r="T314" i="1" s="1"/>
  <c r="S301" i="1"/>
  <c r="S314" i="1" s="1"/>
  <c r="R301" i="1"/>
  <c r="R314" i="1" s="1"/>
  <c r="Q301" i="1"/>
  <c r="Q314" i="1" s="1"/>
  <c r="P301" i="1"/>
  <c r="P314" i="1" s="1"/>
  <c r="O301" i="1"/>
  <c r="O314" i="1" s="1"/>
  <c r="N301" i="1"/>
  <c r="N314" i="1" s="1"/>
  <c r="M301" i="1"/>
  <c r="M314" i="1" s="1"/>
  <c r="L301" i="1"/>
  <c r="L314" i="1" s="1"/>
  <c r="K301" i="1"/>
  <c r="K314" i="1" s="1"/>
  <c r="J301" i="1"/>
  <c r="J314" i="1" s="1"/>
  <c r="I301" i="1"/>
  <c r="I314" i="1" s="1"/>
  <c r="H301" i="1"/>
  <c r="H314" i="1" s="1"/>
  <c r="G301" i="1"/>
  <c r="G314" i="1" s="1"/>
  <c r="F301" i="1"/>
  <c r="F314" i="1" s="1"/>
  <c r="Z300" i="1"/>
  <c r="Z313" i="1" s="1"/>
  <c r="Y300" i="1"/>
  <c r="Y313" i="1" s="1"/>
  <c r="X300" i="1"/>
  <c r="X313" i="1" s="1"/>
  <c r="W300" i="1"/>
  <c r="W313" i="1" s="1"/>
  <c r="V300" i="1"/>
  <c r="V313" i="1" s="1"/>
  <c r="U300" i="1"/>
  <c r="U313" i="1" s="1"/>
  <c r="T300" i="1"/>
  <c r="T313" i="1" s="1"/>
  <c r="S300" i="1"/>
  <c r="S313" i="1" s="1"/>
  <c r="R300" i="1"/>
  <c r="R313" i="1" s="1"/>
  <c r="Q300" i="1"/>
  <c r="Q313" i="1" s="1"/>
  <c r="P300" i="1"/>
  <c r="P313" i="1" s="1"/>
  <c r="O300" i="1"/>
  <c r="O313" i="1" s="1"/>
  <c r="N300" i="1"/>
  <c r="N313" i="1" s="1"/>
  <c r="M300" i="1"/>
  <c r="M313" i="1" s="1"/>
  <c r="L300" i="1"/>
  <c r="L313" i="1" s="1"/>
  <c r="K300" i="1"/>
  <c r="K313" i="1" s="1"/>
  <c r="J300" i="1"/>
  <c r="J313" i="1" s="1"/>
  <c r="I300" i="1"/>
  <c r="I313" i="1" s="1"/>
  <c r="H300" i="1"/>
  <c r="H313" i="1" s="1"/>
  <c r="G300" i="1"/>
  <c r="G313" i="1" s="1"/>
  <c r="F300" i="1"/>
  <c r="F313" i="1" s="1"/>
  <c r="F299" i="1"/>
  <c r="F312" i="1" s="1"/>
  <c r="AC295" i="1"/>
  <c r="U295" i="1"/>
  <c r="O295" i="1"/>
  <c r="I295" i="1"/>
  <c r="E295" i="1"/>
  <c r="U291" i="1"/>
  <c r="O291" i="1"/>
  <c r="I291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D288" i="1"/>
  <c r="C288" i="1"/>
  <c r="B288" i="1"/>
  <c r="AA282" i="1"/>
  <c r="AA295" i="1" s="1"/>
  <c r="AC278" i="1"/>
  <c r="E275" i="1" s="1"/>
  <c r="E288" i="1" s="1"/>
  <c r="AA275" i="1"/>
  <c r="AA288" i="1" s="1"/>
  <c r="Z274" i="1"/>
  <c r="Z287" i="1" s="1"/>
  <c r="Y274" i="1"/>
  <c r="Y287" i="1" s="1"/>
  <c r="X274" i="1"/>
  <c r="X287" i="1" s="1"/>
  <c r="W274" i="1"/>
  <c r="W287" i="1" s="1"/>
  <c r="V274" i="1"/>
  <c r="V287" i="1" s="1"/>
  <c r="U274" i="1"/>
  <c r="U287" i="1" s="1"/>
  <c r="T274" i="1"/>
  <c r="T287" i="1" s="1"/>
  <c r="S274" i="1"/>
  <c r="S287" i="1" s="1"/>
  <c r="R274" i="1"/>
  <c r="R287" i="1" s="1"/>
  <c r="Q274" i="1"/>
  <c r="Q287" i="1" s="1"/>
  <c r="P274" i="1"/>
  <c r="P287" i="1" s="1"/>
  <c r="O274" i="1"/>
  <c r="O287" i="1" s="1"/>
  <c r="N274" i="1"/>
  <c r="N287" i="1" s="1"/>
  <c r="M274" i="1"/>
  <c r="M287" i="1" s="1"/>
  <c r="L274" i="1"/>
  <c r="L287" i="1" s="1"/>
  <c r="K274" i="1"/>
  <c r="K287" i="1" s="1"/>
  <c r="J274" i="1"/>
  <c r="J287" i="1" s="1"/>
  <c r="I274" i="1"/>
  <c r="I287" i="1" s="1"/>
  <c r="H274" i="1"/>
  <c r="H287" i="1" s="1"/>
  <c r="G274" i="1"/>
  <c r="G287" i="1" s="1"/>
  <c r="F274" i="1"/>
  <c r="F287" i="1" s="1"/>
  <c r="Z273" i="1"/>
  <c r="Z286" i="1" s="1"/>
  <c r="Y273" i="1"/>
  <c r="Y286" i="1" s="1"/>
  <c r="X273" i="1"/>
  <c r="X286" i="1" s="1"/>
  <c r="W273" i="1"/>
  <c r="W286" i="1" s="1"/>
  <c r="V273" i="1"/>
  <c r="V286" i="1" s="1"/>
  <c r="U273" i="1"/>
  <c r="U286" i="1" s="1"/>
  <c r="T273" i="1"/>
  <c r="T286" i="1" s="1"/>
  <c r="S273" i="1"/>
  <c r="S286" i="1" s="1"/>
  <c r="R273" i="1"/>
  <c r="R286" i="1" s="1"/>
  <c r="Q273" i="1"/>
  <c r="Q286" i="1" s="1"/>
  <c r="P273" i="1"/>
  <c r="P286" i="1" s="1"/>
  <c r="O273" i="1"/>
  <c r="O286" i="1" s="1"/>
  <c r="N273" i="1"/>
  <c r="N286" i="1" s="1"/>
  <c r="M273" i="1"/>
  <c r="M286" i="1" s="1"/>
  <c r="L273" i="1"/>
  <c r="L286" i="1" s="1"/>
  <c r="K273" i="1"/>
  <c r="K286" i="1" s="1"/>
  <c r="J273" i="1"/>
  <c r="J286" i="1" s="1"/>
  <c r="I273" i="1"/>
  <c r="I286" i="1" s="1"/>
  <c r="H273" i="1"/>
  <c r="H286" i="1" s="1"/>
  <c r="G273" i="1"/>
  <c r="G286" i="1" s="1"/>
  <c r="F273" i="1"/>
  <c r="F286" i="1" s="1"/>
  <c r="F272" i="1"/>
  <c r="F285" i="1" s="1"/>
  <c r="AC268" i="1"/>
  <c r="U268" i="1"/>
  <c r="O268" i="1"/>
  <c r="I268" i="1"/>
  <c r="E268" i="1"/>
  <c r="U264" i="1"/>
  <c r="O264" i="1"/>
  <c r="I264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D261" i="1"/>
  <c r="C261" i="1"/>
  <c r="B261" i="1"/>
  <c r="AA255" i="1"/>
  <c r="AA268" i="1" s="1"/>
  <c r="AC251" i="1"/>
  <c r="AC264" i="1" s="1"/>
  <c r="AA248" i="1"/>
  <c r="AA261" i="1" s="1"/>
  <c r="Z247" i="1"/>
  <c r="Z260" i="1" s="1"/>
  <c r="Y247" i="1"/>
  <c r="Y260" i="1" s="1"/>
  <c r="X247" i="1"/>
  <c r="X260" i="1" s="1"/>
  <c r="W247" i="1"/>
  <c r="W260" i="1" s="1"/>
  <c r="V247" i="1"/>
  <c r="V260" i="1" s="1"/>
  <c r="U247" i="1"/>
  <c r="U260" i="1" s="1"/>
  <c r="T247" i="1"/>
  <c r="T260" i="1" s="1"/>
  <c r="S247" i="1"/>
  <c r="S260" i="1" s="1"/>
  <c r="R247" i="1"/>
  <c r="R260" i="1" s="1"/>
  <c r="Q247" i="1"/>
  <c r="Q260" i="1" s="1"/>
  <c r="P247" i="1"/>
  <c r="P260" i="1" s="1"/>
  <c r="O247" i="1"/>
  <c r="O260" i="1" s="1"/>
  <c r="N247" i="1"/>
  <c r="N260" i="1" s="1"/>
  <c r="M247" i="1"/>
  <c r="M260" i="1" s="1"/>
  <c r="L247" i="1"/>
  <c r="L260" i="1" s="1"/>
  <c r="K247" i="1"/>
  <c r="K260" i="1" s="1"/>
  <c r="J247" i="1"/>
  <c r="J260" i="1" s="1"/>
  <c r="I247" i="1"/>
  <c r="I260" i="1" s="1"/>
  <c r="H247" i="1"/>
  <c r="H260" i="1" s="1"/>
  <c r="G247" i="1"/>
  <c r="G260" i="1" s="1"/>
  <c r="F247" i="1"/>
  <c r="F260" i="1" s="1"/>
  <c r="Z246" i="1"/>
  <c r="Z259" i="1" s="1"/>
  <c r="Y246" i="1"/>
  <c r="Y259" i="1" s="1"/>
  <c r="X246" i="1"/>
  <c r="X259" i="1" s="1"/>
  <c r="W246" i="1"/>
  <c r="W259" i="1" s="1"/>
  <c r="V246" i="1"/>
  <c r="V259" i="1" s="1"/>
  <c r="U246" i="1"/>
  <c r="U259" i="1" s="1"/>
  <c r="T246" i="1"/>
  <c r="T259" i="1" s="1"/>
  <c r="S246" i="1"/>
  <c r="S259" i="1" s="1"/>
  <c r="R246" i="1"/>
  <c r="R259" i="1" s="1"/>
  <c r="Q246" i="1"/>
  <c r="Q259" i="1" s="1"/>
  <c r="P246" i="1"/>
  <c r="P259" i="1" s="1"/>
  <c r="O246" i="1"/>
  <c r="O259" i="1" s="1"/>
  <c r="N246" i="1"/>
  <c r="N259" i="1" s="1"/>
  <c r="M246" i="1"/>
  <c r="M259" i="1" s="1"/>
  <c r="L246" i="1"/>
  <c r="L259" i="1" s="1"/>
  <c r="K246" i="1"/>
  <c r="K259" i="1" s="1"/>
  <c r="J246" i="1"/>
  <c r="J259" i="1" s="1"/>
  <c r="I246" i="1"/>
  <c r="I259" i="1" s="1"/>
  <c r="H246" i="1"/>
  <c r="H259" i="1" s="1"/>
  <c r="G246" i="1"/>
  <c r="G259" i="1" s="1"/>
  <c r="F246" i="1"/>
  <c r="F259" i="1" s="1"/>
  <c r="F245" i="1"/>
  <c r="F258" i="1" s="1"/>
  <c r="AC241" i="1"/>
  <c r="U241" i="1"/>
  <c r="O241" i="1"/>
  <c r="I241" i="1"/>
  <c r="E241" i="1"/>
  <c r="U237" i="1"/>
  <c r="O237" i="1"/>
  <c r="I237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D234" i="1"/>
  <c r="C234" i="1"/>
  <c r="B234" i="1"/>
  <c r="AA228" i="1"/>
  <c r="AA241" i="1" s="1"/>
  <c r="AC224" i="1"/>
  <c r="AC237" i="1" s="1"/>
  <c r="AA221" i="1"/>
  <c r="AA234" i="1" s="1"/>
  <c r="Z220" i="1"/>
  <c r="Z233" i="1" s="1"/>
  <c r="Y220" i="1"/>
  <c r="Y233" i="1" s="1"/>
  <c r="X220" i="1"/>
  <c r="X233" i="1" s="1"/>
  <c r="W220" i="1"/>
  <c r="W233" i="1" s="1"/>
  <c r="V220" i="1"/>
  <c r="V233" i="1" s="1"/>
  <c r="U220" i="1"/>
  <c r="U233" i="1" s="1"/>
  <c r="T220" i="1"/>
  <c r="T233" i="1" s="1"/>
  <c r="S220" i="1"/>
  <c r="S233" i="1" s="1"/>
  <c r="R220" i="1"/>
  <c r="R233" i="1" s="1"/>
  <c r="Q220" i="1"/>
  <c r="Q233" i="1" s="1"/>
  <c r="P220" i="1"/>
  <c r="P233" i="1" s="1"/>
  <c r="O220" i="1"/>
  <c r="O233" i="1" s="1"/>
  <c r="N220" i="1"/>
  <c r="N233" i="1" s="1"/>
  <c r="M220" i="1"/>
  <c r="M233" i="1" s="1"/>
  <c r="L220" i="1"/>
  <c r="L233" i="1" s="1"/>
  <c r="K220" i="1"/>
  <c r="K233" i="1" s="1"/>
  <c r="J220" i="1"/>
  <c r="J233" i="1" s="1"/>
  <c r="I220" i="1"/>
  <c r="I233" i="1" s="1"/>
  <c r="H220" i="1"/>
  <c r="H233" i="1" s="1"/>
  <c r="G220" i="1"/>
  <c r="G233" i="1" s="1"/>
  <c r="F220" i="1"/>
  <c r="F233" i="1" s="1"/>
  <c r="Z219" i="1"/>
  <c r="Z232" i="1" s="1"/>
  <c r="Y219" i="1"/>
  <c r="Y232" i="1" s="1"/>
  <c r="X219" i="1"/>
  <c r="X232" i="1" s="1"/>
  <c r="W219" i="1"/>
  <c r="W232" i="1" s="1"/>
  <c r="V219" i="1"/>
  <c r="V232" i="1" s="1"/>
  <c r="U219" i="1"/>
  <c r="U232" i="1" s="1"/>
  <c r="T219" i="1"/>
  <c r="T232" i="1" s="1"/>
  <c r="S219" i="1"/>
  <c r="S232" i="1" s="1"/>
  <c r="R219" i="1"/>
  <c r="R232" i="1" s="1"/>
  <c r="Q219" i="1"/>
  <c r="Q232" i="1" s="1"/>
  <c r="P219" i="1"/>
  <c r="P232" i="1" s="1"/>
  <c r="O219" i="1"/>
  <c r="O232" i="1" s="1"/>
  <c r="N219" i="1"/>
  <c r="N232" i="1" s="1"/>
  <c r="M219" i="1"/>
  <c r="M232" i="1" s="1"/>
  <c r="L219" i="1"/>
  <c r="L232" i="1" s="1"/>
  <c r="K219" i="1"/>
  <c r="K232" i="1" s="1"/>
  <c r="J219" i="1"/>
  <c r="J232" i="1" s="1"/>
  <c r="I219" i="1"/>
  <c r="I232" i="1" s="1"/>
  <c r="H219" i="1"/>
  <c r="H232" i="1" s="1"/>
  <c r="G219" i="1"/>
  <c r="G232" i="1" s="1"/>
  <c r="F219" i="1"/>
  <c r="F232" i="1" s="1"/>
  <c r="F218" i="1"/>
  <c r="F231" i="1" s="1"/>
  <c r="AC214" i="1"/>
  <c r="U214" i="1"/>
  <c r="O214" i="1"/>
  <c r="I214" i="1"/>
  <c r="E214" i="1"/>
  <c r="U210" i="1"/>
  <c r="O210" i="1"/>
  <c r="I210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D207" i="1"/>
  <c r="C207" i="1"/>
  <c r="B207" i="1"/>
  <c r="AA201" i="1"/>
  <c r="AA214" i="1" s="1"/>
  <c r="AC197" i="1"/>
  <c r="AC210" i="1" s="1"/>
  <c r="AA194" i="1"/>
  <c r="AA207" i="1" s="1"/>
  <c r="Z193" i="1"/>
  <c r="Z206" i="1" s="1"/>
  <c r="Y193" i="1"/>
  <c r="Y206" i="1" s="1"/>
  <c r="X193" i="1"/>
  <c r="X206" i="1" s="1"/>
  <c r="W193" i="1"/>
  <c r="W206" i="1" s="1"/>
  <c r="V193" i="1"/>
  <c r="V206" i="1" s="1"/>
  <c r="U193" i="1"/>
  <c r="U206" i="1" s="1"/>
  <c r="T193" i="1"/>
  <c r="T206" i="1" s="1"/>
  <c r="S193" i="1"/>
  <c r="S206" i="1" s="1"/>
  <c r="R193" i="1"/>
  <c r="R206" i="1" s="1"/>
  <c r="Q193" i="1"/>
  <c r="Q206" i="1" s="1"/>
  <c r="P193" i="1"/>
  <c r="P206" i="1" s="1"/>
  <c r="O193" i="1"/>
  <c r="O206" i="1" s="1"/>
  <c r="N193" i="1"/>
  <c r="N206" i="1" s="1"/>
  <c r="M193" i="1"/>
  <c r="M206" i="1" s="1"/>
  <c r="L193" i="1"/>
  <c r="L206" i="1" s="1"/>
  <c r="K193" i="1"/>
  <c r="K206" i="1" s="1"/>
  <c r="J193" i="1"/>
  <c r="J206" i="1" s="1"/>
  <c r="I193" i="1"/>
  <c r="I206" i="1" s="1"/>
  <c r="H193" i="1"/>
  <c r="H206" i="1" s="1"/>
  <c r="G193" i="1"/>
  <c r="G206" i="1" s="1"/>
  <c r="F193" i="1"/>
  <c r="F206" i="1" s="1"/>
  <c r="Z192" i="1"/>
  <c r="Z205" i="1" s="1"/>
  <c r="Y192" i="1"/>
  <c r="Y205" i="1" s="1"/>
  <c r="X192" i="1"/>
  <c r="X205" i="1" s="1"/>
  <c r="W192" i="1"/>
  <c r="W205" i="1" s="1"/>
  <c r="V192" i="1"/>
  <c r="V205" i="1" s="1"/>
  <c r="U192" i="1"/>
  <c r="U205" i="1" s="1"/>
  <c r="T192" i="1"/>
  <c r="T205" i="1" s="1"/>
  <c r="S192" i="1"/>
  <c r="S205" i="1" s="1"/>
  <c r="R192" i="1"/>
  <c r="R205" i="1" s="1"/>
  <c r="Q192" i="1"/>
  <c r="Q205" i="1" s="1"/>
  <c r="P192" i="1"/>
  <c r="P205" i="1" s="1"/>
  <c r="O192" i="1"/>
  <c r="O205" i="1" s="1"/>
  <c r="N192" i="1"/>
  <c r="N205" i="1" s="1"/>
  <c r="M192" i="1"/>
  <c r="M205" i="1" s="1"/>
  <c r="L192" i="1"/>
  <c r="L205" i="1" s="1"/>
  <c r="K192" i="1"/>
  <c r="K205" i="1" s="1"/>
  <c r="J192" i="1"/>
  <c r="J205" i="1" s="1"/>
  <c r="I192" i="1"/>
  <c r="I205" i="1" s="1"/>
  <c r="H192" i="1"/>
  <c r="H205" i="1" s="1"/>
  <c r="G192" i="1"/>
  <c r="G205" i="1" s="1"/>
  <c r="F192" i="1"/>
  <c r="F205" i="1" s="1"/>
  <c r="F191" i="1"/>
  <c r="F204" i="1" s="1"/>
  <c r="AC187" i="1"/>
  <c r="U187" i="1"/>
  <c r="O187" i="1"/>
  <c r="I187" i="1"/>
  <c r="E187" i="1"/>
  <c r="U183" i="1"/>
  <c r="O183" i="1"/>
  <c r="I183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D180" i="1"/>
  <c r="C180" i="1"/>
  <c r="B180" i="1"/>
  <c r="AA174" i="1"/>
  <c r="AA187" i="1" s="1"/>
  <c r="AC170" i="1"/>
  <c r="AC183" i="1" s="1"/>
  <c r="AA167" i="1"/>
  <c r="AA180" i="1" s="1"/>
  <c r="Z166" i="1"/>
  <c r="Z179" i="1" s="1"/>
  <c r="Y166" i="1"/>
  <c r="Y179" i="1" s="1"/>
  <c r="X166" i="1"/>
  <c r="X179" i="1" s="1"/>
  <c r="W166" i="1"/>
  <c r="W179" i="1" s="1"/>
  <c r="V166" i="1"/>
  <c r="V179" i="1" s="1"/>
  <c r="U166" i="1"/>
  <c r="U179" i="1" s="1"/>
  <c r="T166" i="1"/>
  <c r="T179" i="1" s="1"/>
  <c r="S166" i="1"/>
  <c r="S179" i="1" s="1"/>
  <c r="R166" i="1"/>
  <c r="R179" i="1" s="1"/>
  <c r="Q166" i="1"/>
  <c r="Q179" i="1" s="1"/>
  <c r="P166" i="1"/>
  <c r="P179" i="1" s="1"/>
  <c r="O166" i="1"/>
  <c r="O179" i="1" s="1"/>
  <c r="N166" i="1"/>
  <c r="N179" i="1" s="1"/>
  <c r="M166" i="1"/>
  <c r="M179" i="1" s="1"/>
  <c r="L166" i="1"/>
  <c r="L179" i="1" s="1"/>
  <c r="K166" i="1"/>
  <c r="K179" i="1" s="1"/>
  <c r="J166" i="1"/>
  <c r="J179" i="1" s="1"/>
  <c r="I166" i="1"/>
  <c r="I179" i="1" s="1"/>
  <c r="H166" i="1"/>
  <c r="H179" i="1" s="1"/>
  <c r="G166" i="1"/>
  <c r="G179" i="1" s="1"/>
  <c r="F166" i="1"/>
  <c r="F179" i="1" s="1"/>
  <c r="Z165" i="1"/>
  <c r="Z178" i="1" s="1"/>
  <c r="Y165" i="1"/>
  <c r="Y178" i="1" s="1"/>
  <c r="X165" i="1"/>
  <c r="X178" i="1" s="1"/>
  <c r="W165" i="1"/>
  <c r="W178" i="1" s="1"/>
  <c r="V165" i="1"/>
  <c r="V178" i="1" s="1"/>
  <c r="U165" i="1"/>
  <c r="U178" i="1" s="1"/>
  <c r="T165" i="1"/>
  <c r="T178" i="1" s="1"/>
  <c r="S165" i="1"/>
  <c r="S178" i="1" s="1"/>
  <c r="R165" i="1"/>
  <c r="R178" i="1" s="1"/>
  <c r="Q165" i="1"/>
  <c r="Q178" i="1" s="1"/>
  <c r="P165" i="1"/>
  <c r="P178" i="1" s="1"/>
  <c r="O165" i="1"/>
  <c r="O178" i="1" s="1"/>
  <c r="N165" i="1"/>
  <c r="N178" i="1" s="1"/>
  <c r="M165" i="1"/>
  <c r="M178" i="1" s="1"/>
  <c r="L165" i="1"/>
  <c r="L178" i="1" s="1"/>
  <c r="K165" i="1"/>
  <c r="K178" i="1" s="1"/>
  <c r="J165" i="1"/>
  <c r="J178" i="1" s="1"/>
  <c r="I165" i="1"/>
  <c r="I178" i="1" s="1"/>
  <c r="H165" i="1"/>
  <c r="H178" i="1" s="1"/>
  <c r="G165" i="1"/>
  <c r="G178" i="1" s="1"/>
  <c r="F165" i="1"/>
  <c r="F178" i="1" s="1"/>
  <c r="F164" i="1"/>
  <c r="F177" i="1" s="1"/>
  <c r="AC160" i="1"/>
  <c r="U160" i="1"/>
  <c r="O160" i="1"/>
  <c r="I160" i="1"/>
  <c r="E160" i="1"/>
  <c r="U156" i="1"/>
  <c r="O156" i="1"/>
  <c r="I156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D153" i="1"/>
  <c r="C153" i="1"/>
  <c r="B153" i="1"/>
  <c r="AA147" i="1"/>
  <c r="AA160" i="1" s="1"/>
  <c r="AC143" i="1"/>
  <c r="E140" i="1" s="1"/>
  <c r="E153" i="1" s="1"/>
  <c r="AA140" i="1"/>
  <c r="AA153" i="1" s="1"/>
  <c r="Z139" i="1"/>
  <c r="Z152" i="1" s="1"/>
  <c r="Y139" i="1"/>
  <c r="Y152" i="1" s="1"/>
  <c r="X139" i="1"/>
  <c r="X152" i="1" s="1"/>
  <c r="W139" i="1"/>
  <c r="W152" i="1" s="1"/>
  <c r="V139" i="1"/>
  <c r="V152" i="1" s="1"/>
  <c r="U139" i="1"/>
  <c r="U152" i="1" s="1"/>
  <c r="T139" i="1"/>
  <c r="T152" i="1" s="1"/>
  <c r="S139" i="1"/>
  <c r="S152" i="1" s="1"/>
  <c r="R139" i="1"/>
  <c r="R152" i="1" s="1"/>
  <c r="Q139" i="1"/>
  <c r="Q152" i="1" s="1"/>
  <c r="P139" i="1"/>
  <c r="P152" i="1" s="1"/>
  <c r="O139" i="1"/>
  <c r="O152" i="1" s="1"/>
  <c r="N139" i="1"/>
  <c r="N152" i="1" s="1"/>
  <c r="M139" i="1"/>
  <c r="M152" i="1" s="1"/>
  <c r="L139" i="1"/>
  <c r="L152" i="1" s="1"/>
  <c r="K139" i="1"/>
  <c r="K152" i="1" s="1"/>
  <c r="J139" i="1"/>
  <c r="J152" i="1" s="1"/>
  <c r="I139" i="1"/>
  <c r="I152" i="1" s="1"/>
  <c r="H139" i="1"/>
  <c r="H152" i="1" s="1"/>
  <c r="G139" i="1"/>
  <c r="G152" i="1" s="1"/>
  <c r="F139" i="1"/>
  <c r="F152" i="1" s="1"/>
  <c r="Z138" i="1"/>
  <c r="Z151" i="1" s="1"/>
  <c r="Y138" i="1"/>
  <c r="Y151" i="1" s="1"/>
  <c r="X138" i="1"/>
  <c r="X151" i="1" s="1"/>
  <c r="W138" i="1"/>
  <c r="W151" i="1" s="1"/>
  <c r="V138" i="1"/>
  <c r="V151" i="1" s="1"/>
  <c r="U138" i="1"/>
  <c r="U151" i="1" s="1"/>
  <c r="T138" i="1"/>
  <c r="T151" i="1" s="1"/>
  <c r="S138" i="1"/>
  <c r="S151" i="1" s="1"/>
  <c r="R138" i="1"/>
  <c r="R151" i="1" s="1"/>
  <c r="Q138" i="1"/>
  <c r="Q151" i="1" s="1"/>
  <c r="P138" i="1"/>
  <c r="P151" i="1" s="1"/>
  <c r="O138" i="1"/>
  <c r="O151" i="1" s="1"/>
  <c r="N138" i="1"/>
  <c r="N151" i="1" s="1"/>
  <c r="M138" i="1"/>
  <c r="M151" i="1" s="1"/>
  <c r="L138" i="1"/>
  <c r="L151" i="1" s="1"/>
  <c r="K138" i="1"/>
  <c r="K151" i="1" s="1"/>
  <c r="J138" i="1"/>
  <c r="J151" i="1" s="1"/>
  <c r="I138" i="1"/>
  <c r="I151" i="1" s="1"/>
  <c r="H138" i="1"/>
  <c r="H151" i="1" s="1"/>
  <c r="G138" i="1"/>
  <c r="G151" i="1" s="1"/>
  <c r="F138" i="1"/>
  <c r="F151" i="1" s="1"/>
  <c r="F137" i="1"/>
  <c r="F150" i="1" s="1"/>
  <c r="AC133" i="1"/>
  <c r="U133" i="1"/>
  <c r="O133" i="1"/>
  <c r="I133" i="1"/>
  <c r="E133" i="1"/>
  <c r="U129" i="1"/>
  <c r="O129" i="1"/>
  <c r="I129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D126" i="1"/>
  <c r="C126" i="1"/>
  <c r="B126" i="1"/>
  <c r="AA120" i="1"/>
  <c r="AA133" i="1" s="1"/>
  <c r="AC116" i="1"/>
  <c r="AC129" i="1" s="1"/>
  <c r="AA113" i="1"/>
  <c r="AA126" i="1" s="1"/>
  <c r="Z112" i="1"/>
  <c r="Z125" i="1" s="1"/>
  <c r="Y112" i="1"/>
  <c r="Y125" i="1" s="1"/>
  <c r="X112" i="1"/>
  <c r="X125" i="1" s="1"/>
  <c r="W112" i="1"/>
  <c r="W125" i="1" s="1"/>
  <c r="V112" i="1"/>
  <c r="V125" i="1" s="1"/>
  <c r="U112" i="1"/>
  <c r="U125" i="1" s="1"/>
  <c r="T112" i="1"/>
  <c r="T125" i="1" s="1"/>
  <c r="S112" i="1"/>
  <c r="S125" i="1" s="1"/>
  <c r="R112" i="1"/>
  <c r="R125" i="1" s="1"/>
  <c r="Q112" i="1"/>
  <c r="Q125" i="1" s="1"/>
  <c r="P112" i="1"/>
  <c r="P125" i="1" s="1"/>
  <c r="O112" i="1"/>
  <c r="O125" i="1" s="1"/>
  <c r="N112" i="1"/>
  <c r="N125" i="1" s="1"/>
  <c r="M112" i="1"/>
  <c r="M125" i="1" s="1"/>
  <c r="L112" i="1"/>
  <c r="L125" i="1" s="1"/>
  <c r="K112" i="1"/>
  <c r="K125" i="1" s="1"/>
  <c r="J112" i="1"/>
  <c r="J125" i="1" s="1"/>
  <c r="I112" i="1"/>
  <c r="I125" i="1" s="1"/>
  <c r="H112" i="1"/>
  <c r="H125" i="1" s="1"/>
  <c r="G112" i="1"/>
  <c r="G125" i="1" s="1"/>
  <c r="F112" i="1"/>
  <c r="F125" i="1" s="1"/>
  <c r="Z111" i="1"/>
  <c r="Z124" i="1" s="1"/>
  <c r="Y111" i="1"/>
  <c r="Y124" i="1" s="1"/>
  <c r="X111" i="1"/>
  <c r="X124" i="1" s="1"/>
  <c r="W111" i="1"/>
  <c r="W124" i="1" s="1"/>
  <c r="V111" i="1"/>
  <c r="V124" i="1" s="1"/>
  <c r="U111" i="1"/>
  <c r="U124" i="1" s="1"/>
  <c r="T111" i="1"/>
  <c r="T124" i="1" s="1"/>
  <c r="S111" i="1"/>
  <c r="S124" i="1" s="1"/>
  <c r="R111" i="1"/>
  <c r="R124" i="1" s="1"/>
  <c r="Q111" i="1"/>
  <c r="Q124" i="1" s="1"/>
  <c r="P111" i="1"/>
  <c r="P124" i="1" s="1"/>
  <c r="O111" i="1"/>
  <c r="O124" i="1" s="1"/>
  <c r="N111" i="1"/>
  <c r="N124" i="1" s="1"/>
  <c r="M111" i="1"/>
  <c r="M124" i="1" s="1"/>
  <c r="L111" i="1"/>
  <c r="L124" i="1" s="1"/>
  <c r="K111" i="1"/>
  <c r="K124" i="1" s="1"/>
  <c r="J111" i="1"/>
  <c r="J124" i="1" s="1"/>
  <c r="I111" i="1"/>
  <c r="I124" i="1" s="1"/>
  <c r="H111" i="1"/>
  <c r="H124" i="1" s="1"/>
  <c r="G111" i="1"/>
  <c r="G124" i="1" s="1"/>
  <c r="F111" i="1"/>
  <c r="F124" i="1" s="1"/>
  <c r="F110" i="1"/>
  <c r="F123" i="1" s="1"/>
  <c r="AC106" i="1"/>
  <c r="U106" i="1"/>
  <c r="O106" i="1"/>
  <c r="I106" i="1"/>
  <c r="E106" i="1"/>
  <c r="U102" i="1"/>
  <c r="O102" i="1"/>
  <c r="I102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D99" i="1"/>
  <c r="C99" i="1"/>
  <c r="B99" i="1"/>
  <c r="AA93" i="1"/>
  <c r="AA106" i="1" s="1"/>
  <c r="AC89" i="1"/>
  <c r="AC102" i="1" s="1"/>
  <c r="AA86" i="1"/>
  <c r="AA99" i="1" s="1"/>
  <c r="Z85" i="1"/>
  <c r="Z98" i="1" s="1"/>
  <c r="Y85" i="1"/>
  <c r="Y98" i="1" s="1"/>
  <c r="X85" i="1"/>
  <c r="X98" i="1" s="1"/>
  <c r="W85" i="1"/>
  <c r="W98" i="1" s="1"/>
  <c r="V85" i="1"/>
  <c r="V98" i="1" s="1"/>
  <c r="U85" i="1"/>
  <c r="U98" i="1" s="1"/>
  <c r="T85" i="1"/>
  <c r="T98" i="1" s="1"/>
  <c r="S85" i="1"/>
  <c r="S98" i="1" s="1"/>
  <c r="R85" i="1"/>
  <c r="R98" i="1" s="1"/>
  <c r="Q85" i="1"/>
  <c r="Q98" i="1" s="1"/>
  <c r="P85" i="1"/>
  <c r="P98" i="1" s="1"/>
  <c r="O85" i="1"/>
  <c r="O98" i="1" s="1"/>
  <c r="N85" i="1"/>
  <c r="N98" i="1" s="1"/>
  <c r="M85" i="1"/>
  <c r="M98" i="1" s="1"/>
  <c r="L85" i="1"/>
  <c r="L98" i="1" s="1"/>
  <c r="K85" i="1"/>
  <c r="K98" i="1" s="1"/>
  <c r="J85" i="1"/>
  <c r="J98" i="1" s="1"/>
  <c r="I85" i="1"/>
  <c r="I98" i="1" s="1"/>
  <c r="H85" i="1"/>
  <c r="H98" i="1" s="1"/>
  <c r="G85" i="1"/>
  <c r="G98" i="1" s="1"/>
  <c r="F85" i="1"/>
  <c r="F98" i="1" s="1"/>
  <c r="Z84" i="1"/>
  <c r="Z97" i="1" s="1"/>
  <c r="Y84" i="1"/>
  <c r="Y97" i="1" s="1"/>
  <c r="X84" i="1"/>
  <c r="X97" i="1" s="1"/>
  <c r="W84" i="1"/>
  <c r="W97" i="1" s="1"/>
  <c r="V84" i="1"/>
  <c r="V97" i="1" s="1"/>
  <c r="U84" i="1"/>
  <c r="U97" i="1" s="1"/>
  <c r="T84" i="1"/>
  <c r="T97" i="1" s="1"/>
  <c r="S84" i="1"/>
  <c r="S97" i="1" s="1"/>
  <c r="R84" i="1"/>
  <c r="R97" i="1" s="1"/>
  <c r="Q84" i="1"/>
  <c r="Q97" i="1" s="1"/>
  <c r="P84" i="1"/>
  <c r="P97" i="1" s="1"/>
  <c r="O84" i="1"/>
  <c r="O97" i="1" s="1"/>
  <c r="N84" i="1"/>
  <c r="N97" i="1" s="1"/>
  <c r="M84" i="1"/>
  <c r="M97" i="1" s="1"/>
  <c r="L84" i="1"/>
  <c r="L97" i="1" s="1"/>
  <c r="K84" i="1"/>
  <c r="K97" i="1" s="1"/>
  <c r="J84" i="1"/>
  <c r="J97" i="1" s="1"/>
  <c r="I84" i="1"/>
  <c r="I97" i="1" s="1"/>
  <c r="H84" i="1"/>
  <c r="H97" i="1" s="1"/>
  <c r="G84" i="1"/>
  <c r="G97" i="1" s="1"/>
  <c r="F84" i="1"/>
  <c r="F97" i="1" s="1"/>
  <c r="F83" i="1"/>
  <c r="F96" i="1" s="1"/>
  <c r="K30" i="1"/>
  <c r="K43" i="1" s="1"/>
  <c r="AC79" i="1"/>
  <c r="U79" i="1"/>
  <c r="O79" i="1"/>
  <c r="I79" i="1"/>
  <c r="E79" i="1"/>
  <c r="U75" i="1"/>
  <c r="O75" i="1"/>
  <c r="I75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D72" i="1"/>
  <c r="C72" i="1"/>
  <c r="B72" i="1"/>
  <c r="AA66" i="1"/>
  <c r="AA79" i="1" s="1"/>
  <c r="AC62" i="1"/>
  <c r="AC75" i="1" s="1"/>
  <c r="AA59" i="1"/>
  <c r="AA72" i="1" s="1"/>
  <c r="Z58" i="1"/>
  <c r="Z71" i="1" s="1"/>
  <c r="Y58" i="1"/>
  <c r="Y71" i="1" s="1"/>
  <c r="X58" i="1"/>
  <c r="X71" i="1" s="1"/>
  <c r="W58" i="1"/>
  <c r="W71" i="1" s="1"/>
  <c r="V58" i="1"/>
  <c r="V71" i="1" s="1"/>
  <c r="U58" i="1"/>
  <c r="U71" i="1" s="1"/>
  <c r="T58" i="1"/>
  <c r="T71" i="1" s="1"/>
  <c r="S58" i="1"/>
  <c r="S71" i="1" s="1"/>
  <c r="R58" i="1"/>
  <c r="R71" i="1" s="1"/>
  <c r="Q58" i="1"/>
  <c r="Q71" i="1" s="1"/>
  <c r="P58" i="1"/>
  <c r="P71" i="1" s="1"/>
  <c r="O58" i="1"/>
  <c r="O71" i="1" s="1"/>
  <c r="N58" i="1"/>
  <c r="N71" i="1" s="1"/>
  <c r="M58" i="1"/>
  <c r="M71" i="1" s="1"/>
  <c r="L58" i="1"/>
  <c r="L71" i="1" s="1"/>
  <c r="K58" i="1"/>
  <c r="K71" i="1" s="1"/>
  <c r="J58" i="1"/>
  <c r="J71" i="1" s="1"/>
  <c r="I58" i="1"/>
  <c r="I71" i="1" s="1"/>
  <c r="H58" i="1"/>
  <c r="H71" i="1" s="1"/>
  <c r="G58" i="1"/>
  <c r="G71" i="1" s="1"/>
  <c r="F58" i="1"/>
  <c r="F71" i="1" s="1"/>
  <c r="Z57" i="1"/>
  <c r="Z70" i="1" s="1"/>
  <c r="Y57" i="1"/>
  <c r="Y70" i="1" s="1"/>
  <c r="X57" i="1"/>
  <c r="X70" i="1" s="1"/>
  <c r="W57" i="1"/>
  <c r="W70" i="1" s="1"/>
  <c r="V57" i="1"/>
  <c r="V70" i="1" s="1"/>
  <c r="U57" i="1"/>
  <c r="U70" i="1" s="1"/>
  <c r="T57" i="1"/>
  <c r="T70" i="1" s="1"/>
  <c r="S57" i="1"/>
  <c r="S70" i="1" s="1"/>
  <c r="R57" i="1"/>
  <c r="R70" i="1" s="1"/>
  <c r="Q57" i="1"/>
  <c r="Q70" i="1" s="1"/>
  <c r="P57" i="1"/>
  <c r="P70" i="1" s="1"/>
  <c r="O57" i="1"/>
  <c r="O70" i="1" s="1"/>
  <c r="N57" i="1"/>
  <c r="N70" i="1" s="1"/>
  <c r="M57" i="1"/>
  <c r="M70" i="1" s="1"/>
  <c r="L57" i="1"/>
  <c r="L70" i="1" s="1"/>
  <c r="K57" i="1"/>
  <c r="K70" i="1" s="1"/>
  <c r="J57" i="1"/>
  <c r="J70" i="1" s="1"/>
  <c r="I57" i="1"/>
  <c r="I70" i="1" s="1"/>
  <c r="H57" i="1"/>
  <c r="H70" i="1" s="1"/>
  <c r="G57" i="1"/>
  <c r="G70" i="1" s="1"/>
  <c r="F57" i="1"/>
  <c r="F70" i="1" s="1"/>
  <c r="F56" i="1"/>
  <c r="F69" i="1" s="1"/>
  <c r="Z31" i="1"/>
  <c r="Z44" i="1" s="1"/>
  <c r="Y31" i="1"/>
  <c r="Y44" i="1" s="1"/>
  <c r="X31" i="1"/>
  <c r="X44" i="1" s="1"/>
  <c r="W31" i="1"/>
  <c r="W44" i="1" s="1"/>
  <c r="V31" i="1"/>
  <c r="V44" i="1" s="1"/>
  <c r="U31" i="1"/>
  <c r="U44" i="1" s="1"/>
  <c r="T31" i="1"/>
  <c r="T44" i="1" s="1"/>
  <c r="S31" i="1"/>
  <c r="S44" i="1" s="1"/>
  <c r="R31" i="1"/>
  <c r="R44" i="1" s="1"/>
  <c r="Q31" i="1"/>
  <c r="P31" i="1"/>
  <c r="P44" i="1" s="1"/>
  <c r="O31" i="1"/>
  <c r="O44" i="1" s="1"/>
  <c r="N31" i="1"/>
  <c r="N44" i="1" s="1"/>
  <c r="M31" i="1"/>
  <c r="M44" i="1" s="1"/>
  <c r="L31" i="1"/>
  <c r="L44" i="1" s="1"/>
  <c r="K31" i="1"/>
  <c r="K44" i="1" s="1"/>
  <c r="J31" i="1"/>
  <c r="J44" i="1" s="1"/>
  <c r="I31" i="1"/>
  <c r="I44" i="1" s="1"/>
  <c r="H31" i="1"/>
  <c r="H44" i="1" s="1"/>
  <c r="G31" i="1"/>
  <c r="G44" i="1" s="1"/>
  <c r="F31" i="1"/>
  <c r="F44" i="1" s="1"/>
  <c r="Z30" i="1"/>
  <c r="Z43" i="1" s="1"/>
  <c r="Y30" i="1"/>
  <c r="Y43" i="1" s="1"/>
  <c r="X30" i="1"/>
  <c r="X43" i="1" s="1"/>
  <c r="W30" i="1"/>
  <c r="W43" i="1" s="1"/>
  <c r="V30" i="1"/>
  <c r="U30" i="1"/>
  <c r="U43" i="1" s="1"/>
  <c r="T30" i="1"/>
  <c r="T43" i="1" s="1"/>
  <c r="S30" i="1"/>
  <c r="S43" i="1" s="1"/>
  <c r="R30" i="1"/>
  <c r="R43" i="1" s="1"/>
  <c r="Q30" i="1"/>
  <c r="Q43" i="1" s="1"/>
  <c r="P30" i="1"/>
  <c r="P43" i="1" s="1"/>
  <c r="O30" i="1"/>
  <c r="O43" i="1" s="1"/>
  <c r="N30" i="1"/>
  <c r="M30" i="1"/>
  <c r="L30" i="1"/>
  <c r="L43" i="1" s="1"/>
  <c r="J30" i="1"/>
  <c r="J43" i="1" s="1"/>
  <c r="I30" i="1"/>
  <c r="I43" i="1" s="1"/>
  <c r="H30" i="1"/>
  <c r="G30" i="1"/>
  <c r="G43" i="1" s="1"/>
  <c r="F30" i="1"/>
  <c r="F43" i="1" s="1"/>
  <c r="F29" i="1"/>
  <c r="F42" i="1" s="1"/>
  <c r="AC35" i="1"/>
  <c r="E32" i="1" s="1"/>
  <c r="F15" i="1"/>
  <c r="AA39" i="1"/>
  <c r="AA52" i="1" s="1"/>
  <c r="AC52" i="1"/>
  <c r="U52" i="1"/>
  <c r="O52" i="1"/>
  <c r="I52" i="1"/>
  <c r="E52" i="1"/>
  <c r="U48" i="1"/>
  <c r="O48" i="1"/>
  <c r="I48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D45" i="1"/>
  <c r="C45" i="1"/>
  <c r="B45" i="1"/>
  <c r="AA32" i="1"/>
  <c r="AA45" i="1" s="1"/>
  <c r="Y17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Z17" i="1"/>
  <c r="F17" i="1"/>
  <c r="F16" i="1"/>
  <c r="F18" i="1"/>
  <c r="I25" i="1"/>
  <c r="B18" i="1"/>
  <c r="D18" i="1"/>
  <c r="C18" i="1"/>
  <c r="E25" i="1"/>
  <c r="O25" i="1"/>
  <c r="U25" i="1"/>
  <c r="U21" i="1"/>
  <c r="O21" i="1"/>
  <c r="I21" i="1"/>
  <c r="AC25" i="1"/>
  <c r="AC21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E5" i="1"/>
  <c r="E18" i="1" s="1"/>
  <c r="AA12" i="1"/>
  <c r="AA25" i="1" s="1"/>
  <c r="AA5" i="1"/>
  <c r="E194" i="1" l="1"/>
  <c r="E207" i="1" s="1"/>
  <c r="AC291" i="1"/>
  <c r="E248" i="1"/>
  <c r="E261" i="1" s="1"/>
  <c r="E302" i="1"/>
  <c r="E315" i="1" s="1"/>
  <c r="E167" i="1"/>
  <c r="E180" i="1" s="1"/>
  <c r="E329" i="1"/>
  <c r="E342" i="1" s="1"/>
  <c r="E410" i="1"/>
  <c r="E423" i="1" s="1"/>
  <c r="AC156" i="1"/>
  <c r="E86" i="1"/>
  <c r="E99" i="1" s="1"/>
  <c r="E59" i="1"/>
  <c r="E72" i="1" s="1"/>
  <c r="E278" i="1"/>
  <c r="E291" i="1" s="1"/>
  <c r="E113" i="1"/>
  <c r="E116" i="1" s="1"/>
  <c r="AA116" i="1" s="1"/>
  <c r="AA129" i="1" s="1"/>
  <c r="E197" i="1"/>
  <c r="E210" i="1" s="1"/>
  <c r="E356" i="1"/>
  <c r="E369" i="1" s="1"/>
  <c r="E383" i="1"/>
  <c r="E396" i="1" s="1"/>
  <c r="E221" i="1"/>
  <c r="E234" i="1" s="1"/>
  <c r="AA396" i="1"/>
  <c r="E143" i="1"/>
  <c r="AC48" i="1"/>
  <c r="H43" i="1"/>
  <c r="V43" i="1"/>
  <c r="E35" i="1"/>
  <c r="AA35" i="1" s="1"/>
  <c r="AA48" i="1" s="1"/>
  <c r="M43" i="1"/>
  <c r="N43" i="1"/>
  <c r="Q44" i="1"/>
  <c r="E45" i="1"/>
  <c r="E8" i="1"/>
  <c r="AA8" i="1" s="1"/>
  <c r="AA18" i="1"/>
  <c r="E62" i="1" l="1"/>
  <c r="E75" i="1" s="1"/>
  <c r="E251" i="1"/>
  <c r="E264" i="1" s="1"/>
  <c r="E89" i="1"/>
  <c r="E305" i="1"/>
  <c r="E318" i="1" s="1"/>
  <c r="E170" i="1"/>
  <c r="AA170" i="1" s="1"/>
  <c r="AA183" i="1" s="1"/>
  <c r="E126" i="1"/>
  <c r="E413" i="1"/>
  <c r="AA413" i="1" s="1"/>
  <c r="AA426" i="1" s="1"/>
  <c r="E332" i="1"/>
  <c r="E345" i="1" s="1"/>
  <c r="E129" i="1"/>
  <c r="AA197" i="1"/>
  <c r="AA210" i="1" s="1"/>
  <c r="E224" i="1"/>
  <c r="E237" i="1" s="1"/>
  <c r="AA278" i="1"/>
  <c r="AA291" i="1" s="1"/>
  <c r="E386" i="1"/>
  <c r="E399" i="1" s="1"/>
  <c r="E359" i="1"/>
  <c r="E372" i="1" s="1"/>
  <c r="AA143" i="1"/>
  <c r="AA156" i="1" s="1"/>
  <c r="E156" i="1"/>
  <c r="E102" i="1"/>
  <c r="AA89" i="1"/>
  <c r="AA102" i="1" s="1"/>
  <c r="E48" i="1"/>
  <c r="AA21" i="1"/>
  <c r="E21" i="1"/>
  <c r="AA251" i="1" l="1"/>
  <c r="AA264" i="1" s="1"/>
  <c r="AA62" i="1"/>
  <c r="AA75" i="1" s="1"/>
  <c r="E426" i="1"/>
  <c r="E183" i="1"/>
  <c r="AA224" i="1"/>
  <c r="AA237" i="1" s="1"/>
  <c r="AA386" i="1"/>
  <c r="AA399" i="1" s="1"/>
  <c r="AA305" i="1"/>
  <c r="AA318" i="1" s="1"/>
  <c r="AA332" i="1"/>
  <c r="AA345" i="1" s="1"/>
  <c r="AA359" i="1"/>
  <c r="AA372" i="1" s="1"/>
</calcChain>
</file>

<file path=xl/sharedStrings.xml><?xml version="1.0" encoding="utf-8"?>
<sst xmlns="http://schemas.openxmlformats.org/spreadsheetml/2006/main" count="694" uniqueCount="48">
  <si>
    <t>ПІБ</t>
  </si>
  <si>
    <t>Посада</t>
  </si>
  <si>
    <t>ЧТ</t>
  </si>
  <si>
    <t>ПТ</t>
  </si>
  <si>
    <t>ПН</t>
  </si>
  <si>
    <t>ВТ</t>
  </si>
  <si>
    <t>СР</t>
  </si>
  <si>
    <t>Корогод Євгеній</t>
  </si>
  <si>
    <t>Ісаков Сергій</t>
  </si>
  <si>
    <t>оператор устаткування</t>
  </si>
  <si>
    <t>Сенько Катерина</t>
  </si>
  <si>
    <t>комірник</t>
  </si>
  <si>
    <t>Ануфрієва Наталія</t>
  </si>
  <si>
    <t>Бабіля Наталія</t>
  </si>
  <si>
    <t>Рушницька Анна</t>
  </si>
  <si>
    <t>Колядова Анастасія</t>
  </si>
  <si>
    <t>Габовда Клавдія-Юлія</t>
  </si>
  <si>
    <t>Оператор технологічних установок</t>
  </si>
  <si>
    <t>Курдій Марія</t>
  </si>
  <si>
    <t>Терещенко Сергій</t>
  </si>
  <si>
    <t>Кузман Вікторія</t>
  </si>
  <si>
    <t>Кузьо Оксана</t>
  </si>
  <si>
    <t>Зарецький Владислав</t>
  </si>
  <si>
    <t>Цокол Констянтин</t>
  </si>
  <si>
    <t>Луніка Яна</t>
  </si>
  <si>
    <t>Маріян Валерія</t>
  </si>
  <si>
    <t>Начальник виробництва</t>
  </si>
  <si>
    <t>Штат</t>
  </si>
  <si>
    <t>Так</t>
  </si>
  <si>
    <t>Ні</t>
  </si>
  <si>
    <t>Одна година, грн</t>
  </si>
  <si>
    <t>Відпрацьовані години</t>
  </si>
  <si>
    <t>Травень 2026р</t>
  </si>
  <si>
    <t>Разом 
годин/міс</t>
  </si>
  <si>
    <t>Премії</t>
  </si>
  <si>
    <t>Штрафи</t>
  </si>
  <si>
    <t>Разом</t>
  </si>
  <si>
    <t>НАРАХУВАННЯ, грн</t>
  </si>
  <si>
    <t>ВИПЛАТИ, грн</t>
  </si>
  <si>
    <t>Аванс</t>
  </si>
  <si>
    <t>Лікарн./Відпус.</t>
  </si>
  <si>
    <t>Лікарн./Відпус./Інші</t>
  </si>
  <si>
    <t>На руки</t>
  </si>
  <si>
    <t>Остаток 04-06 наст міс</t>
  </si>
  <si>
    <t>Працівник порізочного участка</t>
  </si>
  <si>
    <t>Робочих днів</t>
  </si>
  <si>
    <t>Ставка, грн</t>
  </si>
  <si>
    <t>Підпис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</si>
</sst>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8" xfId="0" applyFill="1" applyBorder="1"/>
    <xf numFmtId="0" fontId="0" fillId="2" borderId="7" xfId="0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5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12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432"/>
  <sheetViews>
    <sheetView tabSelected="1" zoomScaleNormal="100" workbookViewId="0">
      <selection activeCell="I378" sqref="I378"/>
    </sheetView>
  </sheetViews>
  <sheetFormatPr defaultRowHeight="14.4" outlineLevelRow="1" x14ac:dyDescent="0.3"/>
  <cols>
    <col min="1" max="1" width="1" style="1" customWidth="1"/>
    <col min="2" max="2" width="11.21875" style="18" customWidth="1"/>
    <col min="3" max="3" width="32.77734375" style="1" customWidth="1"/>
    <col min="4" max="4" width="4.5546875" style="2" customWidth="1"/>
    <col min="5" max="5" width="8.6640625" style="1" customWidth="1"/>
    <col min="6" max="26" width="4.109375" style="1" customWidth="1"/>
    <col min="27" max="27" width="11.6640625" style="1" customWidth="1"/>
    <col min="28" max="28" width="1.33203125" style="1" customWidth="1"/>
    <col min="29" max="16384" width="8.88671875" style="1"/>
  </cols>
  <sheetData>
    <row r="1" spans="2:30" ht="3.6" customHeight="1" thickBot="1" x14ac:dyDescent="0.35"/>
    <row r="2" spans="2:30" ht="16.8" customHeight="1" x14ac:dyDescent="0.3">
      <c r="B2" s="32" t="s">
        <v>0</v>
      </c>
      <c r="C2" s="34" t="s">
        <v>1</v>
      </c>
      <c r="D2" s="36" t="s">
        <v>27</v>
      </c>
      <c r="E2" s="38" t="s">
        <v>30</v>
      </c>
      <c r="F2" s="44" t="s">
        <v>32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0" t="s">
        <v>33</v>
      </c>
      <c r="AC2" s="42" t="s">
        <v>47</v>
      </c>
      <c r="AD2" s="43"/>
    </row>
    <row r="3" spans="2:30" x14ac:dyDescent="0.3">
      <c r="B3" s="33"/>
      <c r="C3" s="35"/>
      <c r="D3" s="37"/>
      <c r="E3" s="39"/>
      <c r="F3" s="3" t="s">
        <v>3</v>
      </c>
      <c r="G3" s="3" t="s">
        <v>4</v>
      </c>
      <c r="H3" s="3" t="s">
        <v>5</v>
      </c>
      <c r="I3" s="3" t="s">
        <v>6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  <c r="O3" s="3" t="s">
        <v>2</v>
      </c>
      <c r="P3" s="3" t="s">
        <v>3</v>
      </c>
      <c r="Q3" s="3" t="s">
        <v>4</v>
      </c>
      <c r="R3" s="3" t="s">
        <v>5</v>
      </c>
      <c r="S3" s="3" t="s">
        <v>6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2</v>
      </c>
      <c r="Z3" s="3" t="s">
        <v>3</v>
      </c>
      <c r="AA3" s="41"/>
      <c r="AC3" s="11"/>
      <c r="AD3" s="12"/>
    </row>
    <row r="4" spans="2:30" x14ac:dyDescent="0.3">
      <c r="B4" s="33"/>
      <c r="C4" s="35"/>
      <c r="D4" s="37"/>
      <c r="E4" s="39"/>
      <c r="F4" s="3">
        <v>1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18</v>
      </c>
      <c r="R4" s="3">
        <v>19</v>
      </c>
      <c r="S4" s="3">
        <v>20</v>
      </c>
      <c r="T4" s="3">
        <v>21</v>
      </c>
      <c r="U4" s="3">
        <v>22</v>
      </c>
      <c r="V4" s="3">
        <v>25</v>
      </c>
      <c r="W4" s="3">
        <v>26</v>
      </c>
      <c r="X4" s="3">
        <v>27</v>
      </c>
      <c r="Y4" s="3">
        <v>28</v>
      </c>
      <c r="Z4" s="3">
        <v>29</v>
      </c>
      <c r="AA4" s="41"/>
      <c r="AC4" s="11"/>
      <c r="AD4" s="12"/>
    </row>
    <row r="5" spans="2:30" x14ac:dyDescent="0.3">
      <c r="B5" s="27" t="s">
        <v>7</v>
      </c>
      <c r="C5" s="4" t="s">
        <v>44</v>
      </c>
      <c r="D5" s="3" t="s">
        <v>29</v>
      </c>
      <c r="E5" s="10">
        <f>AC12/AC8/8</f>
        <v>122.02380952380952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5">
        <f>SUM(F5:Z5)</f>
        <v>0</v>
      </c>
      <c r="AC5" s="13"/>
      <c r="AD5" s="14"/>
    </row>
    <row r="6" spans="2:30" ht="4.8" customHeight="1" x14ac:dyDescent="0.3">
      <c r="B6" s="27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8"/>
    </row>
    <row r="7" spans="2:30" x14ac:dyDescent="0.3">
      <c r="B7" s="27"/>
      <c r="C7" s="29" t="s">
        <v>37</v>
      </c>
      <c r="D7" s="21"/>
      <c r="E7" s="20" t="s">
        <v>31</v>
      </c>
      <c r="F7" s="20"/>
      <c r="G7" s="20"/>
      <c r="H7" s="20"/>
      <c r="I7" s="20" t="s">
        <v>40</v>
      </c>
      <c r="J7" s="20"/>
      <c r="K7" s="20"/>
      <c r="L7" s="20"/>
      <c r="M7" s="20"/>
      <c r="N7" s="20"/>
      <c r="O7" s="20" t="s">
        <v>34</v>
      </c>
      <c r="P7" s="20"/>
      <c r="Q7" s="20"/>
      <c r="R7" s="20"/>
      <c r="S7" s="20"/>
      <c r="T7" s="20"/>
      <c r="U7" s="20" t="s">
        <v>35</v>
      </c>
      <c r="V7" s="20"/>
      <c r="W7" s="20"/>
      <c r="X7" s="20"/>
      <c r="Y7" s="20"/>
      <c r="Z7" s="20"/>
      <c r="AA7" s="9" t="s">
        <v>36</v>
      </c>
      <c r="AC7" s="21" t="s">
        <v>45</v>
      </c>
      <c r="AD7" s="21"/>
    </row>
    <row r="8" spans="2:30" x14ac:dyDescent="0.3">
      <c r="B8" s="27"/>
      <c r="C8" s="29"/>
      <c r="D8" s="21"/>
      <c r="E8" s="22">
        <f>E5*AA5</f>
        <v>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4">
        <f>E8+I8+O8-U8</f>
        <v>0</v>
      </c>
      <c r="AC8" s="21">
        <v>21</v>
      </c>
      <c r="AD8" s="21"/>
    </row>
    <row r="9" spans="2:30" x14ac:dyDescent="0.3">
      <c r="B9" s="27"/>
      <c r="C9" s="29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/>
      <c r="AC9" s="21"/>
      <c r="AD9" s="21"/>
    </row>
    <row r="10" spans="2:30" ht="4.8" customHeight="1" x14ac:dyDescent="0.3">
      <c r="B10" s="27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8"/>
    </row>
    <row r="11" spans="2:30" x14ac:dyDescent="0.3">
      <c r="B11" s="27"/>
      <c r="C11" s="29" t="s">
        <v>38</v>
      </c>
      <c r="D11" s="21"/>
      <c r="E11" s="20" t="s">
        <v>39</v>
      </c>
      <c r="F11" s="20"/>
      <c r="G11" s="20"/>
      <c r="H11" s="20"/>
      <c r="I11" s="20" t="s">
        <v>41</v>
      </c>
      <c r="J11" s="20"/>
      <c r="K11" s="20"/>
      <c r="L11" s="20"/>
      <c r="M11" s="20"/>
      <c r="N11" s="20"/>
      <c r="O11" s="20" t="s">
        <v>42</v>
      </c>
      <c r="P11" s="20"/>
      <c r="Q11" s="20"/>
      <c r="R11" s="20"/>
      <c r="S11" s="20"/>
      <c r="T11" s="20"/>
      <c r="U11" s="20" t="s">
        <v>43</v>
      </c>
      <c r="V11" s="20"/>
      <c r="W11" s="20"/>
      <c r="X11" s="20"/>
      <c r="Y11" s="20"/>
      <c r="Z11" s="20"/>
      <c r="AA11" s="9" t="s">
        <v>36</v>
      </c>
      <c r="AC11" s="21" t="s">
        <v>46</v>
      </c>
      <c r="AD11" s="21"/>
    </row>
    <row r="12" spans="2:30" x14ac:dyDescent="0.3">
      <c r="B12" s="27"/>
      <c r="C12" s="29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4">
        <f>E12+I12+O12+U12</f>
        <v>0</v>
      </c>
      <c r="AC12" s="26">
        <v>20500</v>
      </c>
      <c r="AD12" s="26"/>
    </row>
    <row r="13" spans="2:30" ht="15" thickBot="1" x14ac:dyDescent="0.35">
      <c r="B13" s="28"/>
      <c r="C13" s="30"/>
      <c r="D13" s="31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5"/>
      <c r="AC13" s="26"/>
      <c r="AD13" s="26"/>
    </row>
    <row r="14" spans="2:30" ht="55.2" hidden="1" customHeight="1" outlineLevel="1" thickBot="1" x14ac:dyDescent="0.35"/>
    <row r="15" spans="2:30" ht="16.8" hidden="1" customHeight="1" outlineLevel="1" x14ac:dyDescent="0.3">
      <c r="B15" s="32" t="s">
        <v>0</v>
      </c>
      <c r="C15" s="34" t="s">
        <v>1</v>
      </c>
      <c r="D15" s="36" t="s">
        <v>27</v>
      </c>
      <c r="E15" s="38" t="s">
        <v>30</v>
      </c>
      <c r="F15" s="34" t="str">
        <f>F2</f>
        <v>Травень 2026р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40" t="s">
        <v>33</v>
      </c>
    </row>
    <row r="16" spans="2:30" ht="14.4" hidden="1" customHeight="1" outlineLevel="1" x14ac:dyDescent="0.3">
      <c r="B16" s="33"/>
      <c r="C16" s="35"/>
      <c r="D16" s="37"/>
      <c r="E16" s="39"/>
      <c r="F16" s="3" t="str">
        <f>F3</f>
        <v>ПТ</v>
      </c>
      <c r="G16" s="3" t="str">
        <f t="shared" ref="G16:Z16" si="0">G3</f>
        <v>ПН</v>
      </c>
      <c r="H16" s="3" t="str">
        <f t="shared" si="0"/>
        <v>ВТ</v>
      </c>
      <c r="I16" s="3" t="str">
        <f t="shared" si="0"/>
        <v>СР</v>
      </c>
      <c r="J16" s="3" t="str">
        <f t="shared" si="0"/>
        <v>ЧТ</v>
      </c>
      <c r="K16" s="3" t="str">
        <f t="shared" si="0"/>
        <v>ПТ</v>
      </c>
      <c r="L16" s="3" t="str">
        <f t="shared" si="0"/>
        <v>ПН</v>
      </c>
      <c r="M16" s="3" t="str">
        <f t="shared" si="0"/>
        <v>ВТ</v>
      </c>
      <c r="N16" s="3" t="str">
        <f t="shared" si="0"/>
        <v>СР</v>
      </c>
      <c r="O16" s="3" t="str">
        <f t="shared" si="0"/>
        <v>ЧТ</v>
      </c>
      <c r="P16" s="3" t="str">
        <f t="shared" si="0"/>
        <v>ПТ</v>
      </c>
      <c r="Q16" s="3" t="str">
        <f t="shared" si="0"/>
        <v>ПН</v>
      </c>
      <c r="R16" s="3" t="str">
        <f t="shared" si="0"/>
        <v>ВТ</v>
      </c>
      <c r="S16" s="3" t="str">
        <f t="shared" si="0"/>
        <v>СР</v>
      </c>
      <c r="T16" s="3" t="str">
        <f t="shared" si="0"/>
        <v>ЧТ</v>
      </c>
      <c r="U16" s="3" t="str">
        <f t="shared" si="0"/>
        <v>ПТ</v>
      </c>
      <c r="V16" s="3" t="str">
        <f t="shared" si="0"/>
        <v>ПН</v>
      </c>
      <c r="W16" s="3" t="str">
        <f t="shared" si="0"/>
        <v>ВТ</v>
      </c>
      <c r="X16" s="3" t="str">
        <f t="shared" si="0"/>
        <v>СР</v>
      </c>
      <c r="Y16" s="3" t="str">
        <f t="shared" si="0"/>
        <v>ЧТ</v>
      </c>
      <c r="Z16" s="3" t="str">
        <f t="shared" si="0"/>
        <v>ПТ</v>
      </c>
      <c r="AA16" s="41"/>
    </row>
    <row r="17" spans="2:30" ht="14.4" hidden="1" customHeight="1" outlineLevel="1" x14ac:dyDescent="0.3">
      <c r="B17" s="33"/>
      <c r="C17" s="35"/>
      <c r="D17" s="37"/>
      <c r="E17" s="39"/>
      <c r="F17" s="3">
        <f>F4</f>
        <v>1</v>
      </c>
      <c r="G17" s="3">
        <f t="shared" ref="G17:Z17" si="1">G4</f>
        <v>4</v>
      </c>
      <c r="H17" s="3">
        <f t="shared" si="1"/>
        <v>5</v>
      </c>
      <c r="I17" s="3">
        <f t="shared" si="1"/>
        <v>6</v>
      </c>
      <c r="J17" s="3">
        <f t="shared" si="1"/>
        <v>7</v>
      </c>
      <c r="K17" s="3">
        <f t="shared" si="1"/>
        <v>8</v>
      </c>
      <c r="L17" s="3">
        <f t="shared" si="1"/>
        <v>11</v>
      </c>
      <c r="M17" s="3">
        <f t="shared" si="1"/>
        <v>12</v>
      </c>
      <c r="N17" s="3">
        <f t="shared" si="1"/>
        <v>13</v>
      </c>
      <c r="O17" s="3">
        <f t="shared" si="1"/>
        <v>14</v>
      </c>
      <c r="P17" s="3">
        <f t="shared" si="1"/>
        <v>15</v>
      </c>
      <c r="Q17" s="3">
        <f t="shared" si="1"/>
        <v>18</v>
      </c>
      <c r="R17" s="3">
        <f t="shared" si="1"/>
        <v>19</v>
      </c>
      <c r="S17" s="3">
        <f t="shared" si="1"/>
        <v>20</v>
      </c>
      <c r="T17" s="3">
        <f t="shared" si="1"/>
        <v>21</v>
      </c>
      <c r="U17" s="3">
        <f t="shared" si="1"/>
        <v>22</v>
      </c>
      <c r="V17" s="3">
        <f t="shared" si="1"/>
        <v>25</v>
      </c>
      <c r="W17" s="3">
        <f t="shared" si="1"/>
        <v>26</v>
      </c>
      <c r="X17" s="3">
        <f t="shared" si="1"/>
        <v>27</v>
      </c>
      <c r="Y17" s="3">
        <f>Y4</f>
        <v>28</v>
      </c>
      <c r="Z17" s="3">
        <f t="shared" si="1"/>
        <v>29</v>
      </c>
      <c r="AA17" s="41"/>
    </row>
    <row r="18" spans="2:30" ht="14.4" hidden="1" customHeight="1" outlineLevel="1" x14ac:dyDescent="0.3">
      <c r="B18" s="27" t="str">
        <f>B5</f>
        <v>Корогод Євгеній</v>
      </c>
      <c r="C18" s="4" t="str">
        <f>C5</f>
        <v>Працівник порізочного участка</v>
      </c>
      <c r="D18" s="3" t="str">
        <f>D5</f>
        <v>Ні</v>
      </c>
      <c r="E18" s="10">
        <f>E5</f>
        <v>122.02380952380952</v>
      </c>
      <c r="F18" s="3">
        <f>F5</f>
        <v>0</v>
      </c>
      <c r="G18" s="3">
        <f t="shared" ref="G18:Z18" si="2">G5</f>
        <v>0</v>
      </c>
      <c r="H18" s="3">
        <f t="shared" si="2"/>
        <v>0</v>
      </c>
      <c r="I18" s="3">
        <f t="shared" si="2"/>
        <v>0</v>
      </c>
      <c r="J18" s="3">
        <f t="shared" si="2"/>
        <v>0</v>
      </c>
      <c r="K18" s="3">
        <f t="shared" si="2"/>
        <v>0</v>
      </c>
      <c r="L18" s="3">
        <f t="shared" si="2"/>
        <v>0</v>
      </c>
      <c r="M18" s="3">
        <f t="shared" si="2"/>
        <v>0</v>
      </c>
      <c r="N18" s="3">
        <f t="shared" si="2"/>
        <v>0</v>
      </c>
      <c r="O18" s="3">
        <f t="shared" si="2"/>
        <v>0</v>
      </c>
      <c r="P18" s="3">
        <f t="shared" si="2"/>
        <v>0</v>
      </c>
      <c r="Q18" s="3">
        <f t="shared" si="2"/>
        <v>0</v>
      </c>
      <c r="R18" s="3">
        <f t="shared" si="2"/>
        <v>0</v>
      </c>
      <c r="S18" s="3">
        <f t="shared" si="2"/>
        <v>0</v>
      </c>
      <c r="T18" s="3">
        <f t="shared" si="2"/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3">
        <f t="shared" si="2"/>
        <v>0</v>
      </c>
      <c r="Y18" s="3">
        <f t="shared" si="2"/>
        <v>0</v>
      </c>
      <c r="Z18" s="3">
        <f t="shared" si="2"/>
        <v>0</v>
      </c>
      <c r="AA18" s="5">
        <f>AA5</f>
        <v>0</v>
      </c>
    </row>
    <row r="19" spans="2:30" ht="7.8" hidden="1" customHeight="1" outlineLevel="1" x14ac:dyDescent="0.3">
      <c r="B19" s="27"/>
      <c r="C19" s="6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8"/>
    </row>
    <row r="20" spans="2:30" ht="14.4" hidden="1" customHeight="1" outlineLevel="1" x14ac:dyDescent="0.3">
      <c r="B20" s="27"/>
      <c r="C20" s="29" t="s">
        <v>37</v>
      </c>
      <c r="D20" s="21"/>
      <c r="E20" s="20" t="s">
        <v>31</v>
      </c>
      <c r="F20" s="20"/>
      <c r="G20" s="20"/>
      <c r="H20" s="20"/>
      <c r="I20" s="20" t="s">
        <v>40</v>
      </c>
      <c r="J20" s="20"/>
      <c r="K20" s="20"/>
      <c r="L20" s="20"/>
      <c r="M20" s="20"/>
      <c r="N20" s="20"/>
      <c r="O20" s="20" t="s">
        <v>34</v>
      </c>
      <c r="P20" s="20"/>
      <c r="Q20" s="20"/>
      <c r="R20" s="20"/>
      <c r="S20" s="20"/>
      <c r="T20" s="20"/>
      <c r="U20" s="20" t="s">
        <v>35</v>
      </c>
      <c r="V20" s="20"/>
      <c r="W20" s="20"/>
      <c r="X20" s="20"/>
      <c r="Y20" s="20"/>
      <c r="Z20" s="20"/>
      <c r="AA20" s="9" t="s">
        <v>36</v>
      </c>
      <c r="AC20" s="21" t="s">
        <v>45</v>
      </c>
      <c r="AD20" s="21"/>
    </row>
    <row r="21" spans="2:30" ht="14.4" hidden="1" customHeight="1" outlineLevel="1" x14ac:dyDescent="0.3">
      <c r="B21" s="27"/>
      <c r="C21" s="29"/>
      <c r="D21" s="21"/>
      <c r="E21" s="22">
        <f>E8</f>
        <v>0</v>
      </c>
      <c r="F21" s="22"/>
      <c r="G21" s="22"/>
      <c r="H21" s="22"/>
      <c r="I21" s="22">
        <f>I8</f>
        <v>0</v>
      </c>
      <c r="J21" s="22"/>
      <c r="K21" s="22"/>
      <c r="L21" s="22"/>
      <c r="M21" s="22"/>
      <c r="N21" s="22"/>
      <c r="O21" s="22">
        <f t="shared" ref="O21" si="3">O8</f>
        <v>0</v>
      </c>
      <c r="P21" s="22"/>
      <c r="Q21" s="22"/>
      <c r="R21" s="22"/>
      <c r="S21" s="22"/>
      <c r="T21" s="22"/>
      <c r="U21" s="22">
        <f>U8</f>
        <v>0</v>
      </c>
      <c r="V21" s="22"/>
      <c r="W21" s="22"/>
      <c r="X21" s="22"/>
      <c r="Y21" s="22"/>
      <c r="Z21" s="22"/>
      <c r="AA21" s="24">
        <f>AA8</f>
        <v>0</v>
      </c>
      <c r="AC21" s="21">
        <f>AC8</f>
        <v>21</v>
      </c>
      <c r="AD21" s="21"/>
    </row>
    <row r="22" spans="2:30" ht="14.4" hidden="1" customHeight="1" outlineLevel="1" x14ac:dyDescent="0.3">
      <c r="B22" s="27"/>
      <c r="C22" s="29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4"/>
      <c r="AC22" s="21"/>
      <c r="AD22" s="21"/>
    </row>
    <row r="23" spans="2:30" ht="7.2" hidden="1" customHeight="1" outlineLevel="1" x14ac:dyDescent="0.3">
      <c r="B23" s="27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8"/>
    </row>
    <row r="24" spans="2:30" ht="14.4" hidden="1" customHeight="1" outlineLevel="1" x14ac:dyDescent="0.3">
      <c r="B24" s="27"/>
      <c r="C24" s="29" t="s">
        <v>38</v>
      </c>
      <c r="D24" s="21"/>
      <c r="E24" s="20" t="s">
        <v>39</v>
      </c>
      <c r="F24" s="20"/>
      <c r="G24" s="20"/>
      <c r="H24" s="20"/>
      <c r="I24" s="20" t="s">
        <v>41</v>
      </c>
      <c r="J24" s="20"/>
      <c r="K24" s="20"/>
      <c r="L24" s="20"/>
      <c r="M24" s="20"/>
      <c r="N24" s="20"/>
      <c r="O24" s="20" t="s">
        <v>42</v>
      </c>
      <c r="P24" s="20"/>
      <c r="Q24" s="20"/>
      <c r="R24" s="20"/>
      <c r="S24" s="20"/>
      <c r="T24" s="20"/>
      <c r="U24" s="20" t="s">
        <v>43</v>
      </c>
      <c r="V24" s="20"/>
      <c r="W24" s="20"/>
      <c r="X24" s="20"/>
      <c r="Y24" s="20"/>
      <c r="Z24" s="20"/>
      <c r="AA24" s="9" t="s">
        <v>36</v>
      </c>
      <c r="AC24" s="21" t="s">
        <v>46</v>
      </c>
      <c r="AD24" s="21"/>
    </row>
    <row r="25" spans="2:30" ht="14.4" hidden="1" customHeight="1" outlineLevel="1" x14ac:dyDescent="0.3">
      <c r="B25" s="27"/>
      <c r="C25" s="29"/>
      <c r="D25" s="21"/>
      <c r="E25" s="22">
        <f>E12</f>
        <v>0</v>
      </c>
      <c r="F25" s="22"/>
      <c r="G25" s="22"/>
      <c r="H25" s="22"/>
      <c r="I25" s="22">
        <f>I12</f>
        <v>0</v>
      </c>
      <c r="J25" s="22"/>
      <c r="K25" s="22"/>
      <c r="L25" s="22"/>
      <c r="M25" s="22"/>
      <c r="N25" s="22"/>
      <c r="O25" s="22">
        <f t="shared" ref="O25" si="4">O12</f>
        <v>0</v>
      </c>
      <c r="P25" s="22"/>
      <c r="Q25" s="22"/>
      <c r="R25" s="22"/>
      <c r="S25" s="22"/>
      <c r="T25" s="22"/>
      <c r="U25" s="22">
        <f t="shared" ref="U25" si="5">U12</f>
        <v>0</v>
      </c>
      <c r="V25" s="22"/>
      <c r="W25" s="22"/>
      <c r="X25" s="22"/>
      <c r="Y25" s="22"/>
      <c r="Z25" s="22"/>
      <c r="AA25" s="24">
        <f>AA12</f>
        <v>0</v>
      </c>
      <c r="AC25" s="26">
        <f>AC12</f>
        <v>20500</v>
      </c>
      <c r="AD25" s="26"/>
    </row>
    <row r="26" spans="2:30" ht="15" hidden="1" customHeight="1" outlineLevel="1" thickBot="1" x14ac:dyDescent="0.35">
      <c r="B26" s="28"/>
      <c r="C26" s="30"/>
      <c r="D26" s="31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5"/>
      <c r="AC26" s="26"/>
      <c r="AD26" s="26"/>
    </row>
    <row r="27" spans="2:30" s="15" customFormat="1" collapsed="1" x14ac:dyDescent="0.3">
      <c r="B27" s="19"/>
      <c r="D27" s="16"/>
    </row>
    <row r="28" spans="2:30" ht="3.6" customHeight="1" thickBot="1" x14ac:dyDescent="0.35"/>
    <row r="29" spans="2:30" ht="16.8" customHeight="1" x14ac:dyDescent="0.3">
      <c r="B29" s="32" t="s">
        <v>0</v>
      </c>
      <c r="C29" s="34" t="s">
        <v>1</v>
      </c>
      <c r="D29" s="36" t="s">
        <v>27</v>
      </c>
      <c r="E29" s="38" t="s">
        <v>30</v>
      </c>
      <c r="F29" s="44" t="str">
        <f>$F$2</f>
        <v>Травень 2026р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0" t="s">
        <v>33</v>
      </c>
      <c r="AC29" s="42" t="s">
        <v>47</v>
      </c>
      <c r="AD29" s="43"/>
    </row>
    <row r="30" spans="2:30" x14ac:dyDescent="0.3">
      <c r="B30" s="33"/>
      <c r="C30" s="35"/>
      <c r="D30" s="37"/>
      <c r="E30" s="39"/>
      <c r="F30" s="3" t="str">
        <f>$F$3</f>
        <v>ПТ</v>
      </c>
      <c r="G30" s="3" t="str">
        <f>$G$3</f>
        <v>ПН</v>
      </c>
      <c r="H30" s="3" t="str">
        <f>$H$3</f>
        <v>ВТ</v>
      </c>
      <c r="I30" s="3" t="str">
        <f>$I$3</f>
        <v>СР</v>
      </c>
      <c r="J30" s="3" t="str">
        <f>$J$3</f>
        <v>ЧТ</v>
      </c>
      <c r="K30" s="3" t="str">
        <f>$K$3</f>
        <v>ПТ</v>
      </c>
      <c r="L30" s="3" t="str">
        <f>$L$3</f>
        <v>ПН</v>
      </c>
      <c r="M30" s="3" t="str">
        <f>$M$3</f>
        <v>ВТ</v>
      </c>
      <c r="N30" s="3" t="str">
        <f>$N$3</f>
        <v>СР</v>
      </c>
      <c r="O30" s="3" t="str">
        <f>$O$3</f>
        <v>ЧТ</v>
      </c>
      <c r="P30" s="3" t="str">
        <f>$P$3</f>
        <v>ПТ</v>
      </c>
      <c r="Q30" s="3" t="str">
        <f>$Q$3</f>
        <v>ПН</v>
      </c>
      <c r="R30" s="3" t="str">
        <f>$R$3</f>
        <v>ВТ</v>
      </c>
      <c r="S30" s="3" t="str">
        <f>$S$3</f>
        <v>СР</v>
      </c>
      <c r="T30" s="3" t="str">
        <f>$T$3</f>
        <v>ЧТ</v>
      </c>
      <c r="U30" s="3" t="str">
        <f>$U$3</f>
        <v>ПТ</v>
      </c>
      <c r="V30" s="3" t="str">
        <f>$V$3</f>
        <v>ПН</v>
      </c>
      <c r="W30" s="3" t="str">
        <f>$W$3</f>
        <v>ВТ</v>
      </c>
      <c r="X30" s="3" t="str">
        <f>$X$3</f>
        <v>СР</v>
      </c>
      <c r="Y30" s="3" t="str">
        <f>$Y$3</f>
        <v>ЧТ</v>
      </c>
      <c r="Z30" s="3" t="str">
        <f>$Z$3</f>
        <v>ПТ</v>
      </c>
      <c r="AA30" s="41"/>
      <c r="AC30" s="11"/>
      <c r="AD30" s="12"/>
    </row>
    <row r="31" spans="2:30" x14ac:dyDescent="0.3">
      <c r="B31" s="33"/>
      <c r="C31" s="35"/>
      <c r="D31" s="37"/>
      <c r="E31" s="39"/>
      <c r="F31" s="3">
        <f>$F$4</f>
        <v>1</v>
      </c>
      <c r="G31" s="3">
        <f>$G$4</f>
        <v>4</v>
      </c>
      <c r="H31" s="3">
        <f>$H$4</f>
        <v>5</v>
      </c>
      <c r="I31" s="3">
        <f>$I$4</f>
        <v>6</v>
      </c>
      <c r="J31" s="3">
        <f>$J$4</f>
        <v>7</v>
      </c>
      <c r="K31" s="3">
        <f>$K$4</f>
        <v>8</v>
      </c>
      <c r="L31" s="3">
        <f>$L$4</f>
        <v>11</v>
      </c>
      <c r="M31" s="3">
        <f>$M$4</f>
        <v>12</v>
      </c>
      <c r="N31" s="3">
        <f>$N$4</f>
        <v>13</v>
      </c>
      <c r="O31" s="3">
        <f>$O$4</f>
        <v>14</v>
      </c>
      <c r="P31" s="3">
        <f>$P$4</f>
        <v>15</v>
      </c>
      <c r="Q31" s="3">
        <f>$Q$4</f>
        <v>18</v>
      </c>
      <c r="R31" s="3">
        <f>$R$4</f>
        <v>19</v>
      </c>
      <c r="S31" s="3">
        <f>$S$4</f>
        <v>20</v>
      </c>
      <c r="T31" s="3">
        <f>$T$4</f>
        <v>21</v>
      </c>
      <c r="U31" s="3">
        <f>$U$4</f>
        <v>22</v>
      </c>
      <c r="V31" s="3">
        <f>$V$4</f>
        <v>25</v>
      </c>
      <c r="W31" s="3">
        <f>$W$4</f>
        <v>26</v>
      </c>
      <c r="X31" s="3">
        <f>$X$4</f>
        <v>27</v>
      </c>
      <c r="Y31" s="3">
        <f>$Y$4</f>
        <v>28</v>
      </c>
      <c r="Z31" s="3">
        <f>$Z$4</f>
        <v>29</v>
      </c>
      <c r="AA31" s="41"/>
      <c r="AC31" s="11"/>
      <c r="AD31" s="12"/>
    </row>
    <row r="32" spans="2:30" x14ac:dyDescent="0.3">
      <c r="B32" s="27" t="s">
        <v>8</v>
      </c>
      <c r="C32" s="4" t="s">
        <v>9</v>
      </c>
      <c r="D32" s="17" t="s">
        <v>29</v>
      </c>
      <c r="E32" s="10">
        <f>AC39/AC35/8</f>
        <v>142.85714285714286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5">
        <f>SUM(F32:Z32)</f>
        <v>0</v>
      </c>
      <c r="AC32" s="13"/>
      <c r="AD32" s="14"/>
    </row>
    <row r="33" spans="2:30" ht="4.8" customHeight="1" x14ac:dyDescent="0.3">
      <c r="B33" s="27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8"/>
    </row>
    <row r="34" spans="2:30" x14ac:dyDescent="0.3">
      <c r="B34" s="27"/>
      <c r="C34" s="29" t="s">
        <v>37</v>
      </c>
      <c r="D34" s="21"/>
      <c r="E34" s="20" t="s">
        <v>31</v>
      </c>
      <c r="F34" s="20"/>
      <c r="G34" s="20"/>
      <c r="H34" s="20"/>
      <c r="I34" s="20" t="s">
        <v>40</v>
      </c>
      <c r="J34" s="20"/>
      <c r="K34" s="20"/>
      <c r="L34" s="20"/>
      <c r="M34" s="20"/>
      <c r="N34" s="20"/>
      <c r="O34" s="20" t="s">
        <v>34</v>
      </c>
      <c r="P34" s="20"/>
      <c r="Q34" s="20"/>
      <c r="R34" s="20"/>
      <c r="S34" s="20"/>
      <c r="T34" s="20"/>
      <c r="U34" s="20" t="s">
        <v>35</v>
      </c>
      <c r="V34" s="20"/>
      <c r="W34" s="20"/>
      <c r="X34" s="20"/>
      <c r="Y34" s="20"/>
      <c r="Z34" s="20"/>
      <c r="AA34" s="9" t="s">
        <v>36</v>
      </c>
      <c r="AC34" s="21" t="s">
        <v>45</v>
      </c>
      <c r="AD34" s="21"/>
    </row>
    <row r="35" spans="2:30" x14ac:dyDescent="0.3">
      <c r="B35" s="27"/>
      <c r="C35" s="29"/>
      <c r="D35" s="21"/>
      <c r="E35" s="22">
        <f>E32*AA32</f>
        <v>0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4">
        <f>E35+I35+O35-U35</f>
        <v>0</v>
      </c>
      <c r="AC35" s="21">
        <f>$AC$8</f>
        <v>21</v>
      </c>
      <c r="AD35" s="21"/>
    </row>
    <row r="36" spans="2:30" x14ac:dyDescent="0.3">
      <c r="B36" s="27"/>
      <c r="C36" s="29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4"/>
      <c r="AC36" s="21"/>
      <c r="AD36" s="21"/>
    </row>
    <row r="37" spans="2:30" ht="4.8" customHeight="1" x14ac:dyDescent="0.3">
      <c r="B37" s="2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8"/>
    </row>
    <row r="38" spans="2:30" x14ac:dyDescent="0.3">
      <c r="B38" s="27"/>
      <c r="C38" s="29" t="s">
        <v>38</v>
      </c>
      <c r="D38" s="21"/>
      <c r="E38" s="20" t="s">
        <v>39</v>
      </c>
      <c r="F38" s="20"/>
      <c r="G38" s="20"/>
      <c r="H38" s="20"/>
      <c r="I38" s="20" t="s">
        <v>41</v>
      </c>
      <c r="J38" s="20"/>
      <c r="K38" s="20"/>
      <c r="L38" s="20"/>
      <c r="M38" s="20"/>
      <c r="N38" s="20"/>
      <c r="O38" s="20" t="s">
        <v>42</v>
      </c>
      <c r="P38" s="20"/>
      <c r="Q38" s="20"/>
      <c r="R38" s="20"/>
      <c r="S38" s="20"/>
      <c r="T38" s="20"/>
      <c r="U38" s="20" t="s">
        <v>43</v>
      </c>
      <c r="V38" s="20"/>
      <c r="W38" s="20"/>
      <c r="X38" s="20"/>
      <c r="Y38" s="20"/>
      <c r="Z38" s="20"/>
      <c r="AA38" s="9" t="s">
        <v>36</v>
      </c>
      <c r="AC38" s="21" t="s">
        <v>46</v>
      </c>
      <c r="AD38" s="21"/>
    </row>
    <row r="39" spans="2:30" x14ac:dyDescent="0.3">
      <c r="B39" s="27"/>
      <c r="C39" s="29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4">
        <f>E39+I39+O39+U39</f>
        <v>0</v>
      </c>
      <c r="AC39" s="26">
        <v>24000</v>
      </c>
      <c r="AD39" s="26"/>
    </row>
    <row r="40" spans="2:30" ht="15" thickBot="1" x14ac:dyDescent="0.35">
      <c r="B40" s="28"/>
      <c r="C40" s="30"/>
      <c r="D40" s="31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5"/>
      <c r="AC40" s="26"/>
      <c r="AD40" s="26"/>
    </row>
    <row r="41" spans="2:30" ht="55.2" hidden="1" customHeight="1" outlineLevel="1" thickBot="1" x14ac:dyDescent="0.35"/>
    <row r="42" spans="2:30" ht="16.8" hidden="1" customHeight="1" outlineLevel="1" x14ac:dyDescent="0.3">
      <c r="B42" s="32" t="s">
        <v>0</v>
      </c>
      <c r="C42" s="34" t="s">
        <v>1</v>
      </c>
      <c r="D42" s="36" t="s">
        <v>27</v>
      </c>
      <c r="E42" s="38" t="s">
        <v>30</v>
      </c>
      <c r="F42" s="34" t="str">
        <f>F29</f>
        <v>Травень 2026р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40" t="s">
        <v>33</v>
      </c>
    </row>
    <row r="43" spans="2:30" hidden="1" outlineLevel="1" x14ac:dyDescent="0.3">
      <c r="B43" s="33"/>
      <c r="C43" s="35"/>
      <c r="D43" s="37"/>
      <c r="E43" s="39"/>
      <c r="F43" s="3" t="str">
        <f>F30</f>
        <v>ПТ</v>
      </c>
      <c r="G43" s="3" t="str">
        <f t="shared" ref="G43:Z43" si="6">G30</f>
        <v>ПН</v>
      </c>
      <c r="H43" s="3" t="str">
        <f t="shared" si="6"/>
        <v>ВТ</v>
      </c>
      <c r="I43" s="3" t="str">
        <f t="shared" si="6"/>
        <v>СР</v>
      </c>
      <c r="J43" s="3" t="str">
        <f t="shared" si="6"/>
        <v>ЧТ</v>
      </c>
      <c r="K43" s="3" t="str">
        <f t="shared" si="6"/>
        <v>ПТ</v>
      </c>
      <c r="L43" s="3" t="str">
        <f t="shared" si="6"/>
        <v>ПН</v>
      </c>
      <c r="M43" s="3" t="str">
        <f t="shared" si="6"/>
        <v>ВТ</v>
      </c>
      <c r="N43" s="3" t="str">
        <f t="shared" si="6"/>
        <v>СР</v>
      </c>
      <c r="O43" s="3" t="str">
        <f t="shared" si="6"/>
        <v>ЧТ</v>
      </c>
      <c r="P43" s="3" t="str">
        <f t="shared" si="6"/>
        <v>ПТ</v>
      </c>
      <c r="Q43" s="3" t="str">
        <f t="shared" si="6"/>
        <v>ПН</v>
      </c>
      <c r="R43" s="3" t="str">
        <f t="shared" si="6"/>
        <v>ВТ</v>
      </c>
      <c r="S43" s="3" t="str">
        <f t="shared" si="6"/>
        <v>СР</v>
      </c>
      <c r="T43" s="3" t="str">
        <f t="shared" si="6"/>
        <v>ЧТ</v>
      </c>
      <c r="U43" s="3" t="str">
        <f t="shared" si="6"/>
        <v>ПТ</v>
      </c>
      <c r="V43" s="3" t="str">
        <f t="shared" si="6"/>
        <v>ПН</v>
      </c>
      <c r="W43" s="3" t="str">
        <f t="shared" si="6"/>
        <v>ВТ</v>
      </c>
      <c r="X43" s="3" t="str">
        <f t="shared" si="6"/>
        <v>СР</v>
      </c>
      <c r="Y43" s="3" t="str">
        <f t="shared" si="6"/>
        <v>ЧТ</v>
      </c>
      <c r="Z43" s="3" t="str">
        <f t="shared" si="6"/>
        <v>ПТ</v>
      </c>
      <c r="AA43" s="41"/>
    </row>
    <row r="44" spans="2:30" hidden="1" outlineLevel="1" x14ac:dyDescent="0.3">
      <c r="B44" s="33"/>
      <c r="C44" s="35"/>
      <c r="D44" s="37"/>
      <c r="E44" s="39"/>
      <c r="F44" s="3">
        <f>F31</f>
        <v>1</v>
      </c>
      <c r="G44" s="3">
        <f t="shared" ref="G44:X44" si="7">G31</f>
        <v>4</v>
      </c>
      <c r="H44" s="3">
        <f t="shared" si="7"/>
        <v>5</v>
      </c>
      <c r="I44" s="3">
        <f t="shared" si="7"/>
        <v>6</v>
      </c>
      <c r="J44" s="3">
        <f t="shared" si="7"/>
        <v>7</v>
      </c>
      <c r="K44" s="3">
        <f t="shared" si="7"/>
        <v>8</v>
      </c>
      <c r="L44" s="3">
        <f t="shared" si="7"/>
        <v>11</v>
      </c>
      <c r="M44" s="3">
        <f t="shared" si="7"/>
        <v>12</v>
      </c>
      <c r="N44" s="3">
        <f t="shared" si="7"/>
        <v>13</v>
      </c>
      <c r="O44" s="3">
        <f t="shared" si="7"/>
        <v>14</v>
      </c>
      <c r="P44" s="3">
        <f t="shared" si="7"/>
        <v>15</v>
      </c>
      <c r="Q44" s="3">
        <f t="shared" si="7"/>
        <v>18</v>
      </c>
      <c r="R44" s="3">
        <f t="shared" si="7"/>
        <v>19</v>
      </c>
      <c r="S44" s="3">
        <f t="shared" si="7"/>
        <v>20</v>
      </c>
      <c r="T44" s="3">
        <f t="shared" si="7"/>
        <v>21</v>
      </c>
      <c r="U44" s="3">
        <f t="shared" si="7"/>
        <v>22</v>
      </c>
      <c r="V44" s="3">
        <f t="shared" si="7"/>
        <v>25</v>
      </c>
      <c r="W44" s="3">
        <f t="shared" si="7"/>
        <v>26</v>
      </c>
      <c r="X44" s="3">
        <f t="shared" si="7"/>
        <v>27</v>
      </c>
      <c r="Y44" s="3">
        <f>Y31</f>
        <v>28</v>
      </c>
      <c r="Z44" s="3">
        <f t="shared" ref="Z44" si="8">Z31</f>
        <v>29</v>
      </c>
      <c r="AA44" s="41"/>
    </row>
    <row r="45" spans="2:30" hidden="1" outlineLevel="1" x14ac:dyDescent="0.3">
      <c r="B45" s="27" t="str">
        <f>B32</f>
        <v>Ісаков Сергій</v>
      </c>
      <c r="C45" s="4" t="str">
        <f>C32</f>
        <v>оператор устаткування</v>
      </c>
      <c r="D45" s="3" t="str">
        <f>D32</f>
        <v>Ні</v>
      </c>
      <c r="E45" s="10">
        <f>E32</f>
        <v>142.85714285714286</v>
      </c>
      <c r="F45" s="3">
        <f>F32</f>
        <v>0</v>
      </c>
      <c r="G45" s="3">
        <f t="shared" ref="G45:Z45" si="9">G32</f>
        <v>0</v>
      </c>
      <c r="H45" s="3">
        <f t="shared" si="9"/>
        <v>0</v>
      </c>
      <c r="I45" s="3">
        <f t="shared" si="9"/>
        <v>0</v>
      </c>
      <c r="J45" s="3">
        <f t="shared" si="9"/>
        <v>0</v>
      </c>
      <c r="K45" s="3">
        <f t="shared" si="9"/>
        <v>0</v>
      </c>
      <c r="L45" s="3">
        <f t="shared" si="9"/>
        <v>0</v>
      </c>
      <c r="M45" s="3">
        <f t="shared" si="9"/>
        <v>0</v>
      </c>
      <c r="N45" s="3">
        <f t="shared" si="9"/>
        <v>0</v>
      </c>
      <c r="O45" s="3">
        <f t="shared" si="9"/>
        <v>0</v>
      </c>
      <c r="P45" s="3">
        <f t="shared" si="9"/>
        <v>0</v>
      </c>
      <c r="Q45" s="3">
        <f t="shared" si="9"/>
        <v>0</v>
      </c>
      <c r="R45" s="3">
        <f t="shared" si="9"/>
        <v>0</v>
      </c>
      <c r="S45" s="3">
        <f t="shared" si="9"/>
        <v>0</v>
      </c>
      <c r="T45" s="3">
        <f t="shared" si="9"/>
        <v>0</v>
      </c>
      <c r="U45" s="3">
        <f t="shared" si="9"/>
        <v>0</v>
      </c>
      <c r="V45" s="3">
        <f t="shared" si="9"/>
        <v>0</v>
      </c>
      <c r="W45" s="3">
        <f t="shared" si="9"/>
        <v>0</v>
      </c>
      <c r="X45" s="3">
        <f t="shared" si="9"/>
        <v>0</v>
      </c>
      <c r="Y45" s="3">
        <f t="shared" si="9"/>
        <v>0</v>
      </c>
      <c r="Z45" s="3">
        <f t="shared" si="9"/>
        <v>0</v>
      </c>
      <c r="AA45" s="5">
        <f>AA32</f>
        <v>0</v>
      </c>
    </row>
    <row r="46" spans="2:30" ht="7.8" hidden="1" customHeight="1" outlineLevel="1" x14ac:dyDescent="0.3">
      <c r="B46" s="2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8"/>
    </row>
    <row r="47" spans="2:30" hidden="1" outlineLevel="1" x14ac:dyDescent="0.3">
      <c r="B47" s="27"/>
      <c r="C47" s="29" t="s">
        <v>37</v>
      </c>
      <c r="D47" s="21"/>
      <c r="E47" s="20" t="s">
        <v>31</v>
      </c>
      <c r="F47" s="20"/>
      <c r="G47" s="20"/>
      <c r="H47" s="20"/>
      <c r="I47" s="20" t="s">
        <v>40</v>
      </c>
      <c r="J47" s="20"/>
      <c r="K47" s="20"/>
      <c r="L47" s="20"/>
      <c r="M47" s="20"/>
      <c r="N47" s="20"/>
      <c r="O47" s="20" t="s">
        <v>34</v>
      </c>
      <c r="P47" s="20"/>
      <c r="Q47" s="20"/>
      <c r="R47" s="20"/>
      <c r="S47" s="20"/>
      <c r="T47" s="20"/>
      <c r="U47" s="20" t="s">
        <v>35</v>
      </c>
      <c r="V47" s="20"/>
      <c r="W47" s="20"/>
      <c r="X47" s="20"/>
      <c r="Y47" s="20"/>
      <c r="Z47" s="20"/>
      <c r="AA47" s="9" t="s">
        <v>36</v>
      </c>
      <c r="AC47" s="21" t="s">
        <v>45</v>
      </c>
      <c r="AD47" s="21"/>
    </row>
    <row r="48" spans="2:30" hidden="1" outlineLevel="1" x14ac:dyDescent="0.3">
      <c r="B48" s="27"/>
      <c r="C48" s="29"/>
      <c r="D48" s="21"/>
      <c r="E48" s="22">
        <f>E35</f>
        <v>0</v>
      </c>
      <c r="F48" s="22"/>
      <c r="G48" s="22"/>
      <c r="H48" s="22"/>
      <c r="I48" s="22">
        <f>I35</f>
        <v>0</v>
      </c>
      <c r="J48" s="22"/>
      <c r="K48" s="22"/>
      <c r="L48" s="22"/>
      <c r="M48" s="22"/>
      <c r="N48" s="22"/>
      <c r="O48" s="22">
        <f t="shared" ref="O48" si="10">O35</f>
        <v>0</v>
      </c>
      <c r="P48" s="22"/>
      <c r="Q48" s="22"/>
      <c r="R48" s="22"/>
      <c r="S48" s="22"/>
      <c r="T48" s="22"/>
      <c r="U48" s="22">
        <f>U35</f>
        <v>0</v>
      </c>
      <c r="V48" s="22"/>
      <c r="W48" s="22"/>
      <c r="X48" s="22"/>
      <c r="Y48" s="22"/>
      <c r="Z48" s="22"/>
      <c r="AA48" s="24">
        <f>AA35</f>
        <v>0</v>
      </c>
      <c r="AC48" s="21">
        <f>AC35</f>
        <v>21</v>
      </c>
      <c r="AD48" s="21"/>
    </row>
    <row r="49" spans="2:30" hidden="1" outlineLevel="1" x14ac:dyDescent="0.3">
      <c r="B49" s="27"/>
      <c r="C49" s="29"/>
      <c r="D49" s="21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4"/>
      <c r="AC49" s="21"/>
      <c r="AD49" s="21"/>
    </row>
    <row r="50" spans="2:30" ht="7.2" hidden="1" customHeight="1" outlineLevel="1" x14ac:dyDescent="0.3">
      <c r="B50" s="2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8"/>
    </row>
    <row r="51" spans="2:30" hidden="1" outlineLevel="1" x14ac:dyDescent="0.3">
      <c r="B51" s="27"/>
      <c r="C51" s="29" t="s">
        <v>38</v>
      </c>
      <c r="D51" s="21"/>
      <c r="E51" s="20" t="s">
        <v>39</v>
      </c>
      <c r="F51" s="20"/>
      <c r="G51" s="20"/>
      <c r="H51" s="20"/>
      <c r="I51" s="20" t="s">
        <v>41</v>
      </c>
      <c r="J51" s="20"/>
      <c r="K51" s="20"/>
      <c r="L51" s="20"/>
      <c r="M51" s="20"/>
      <c r="N51" s="20"/>
      <c r="O51" s="20" t="s">
        <v>42</v>
      </c>
      <c r="P51" s="20"/>
      <c r="Q51" s="20"/>
      <c r="R51" s="20"/>
      <c r="S51" s="20"/>
      <c r="T51" s="20"/>
      <c r="U51" s="20" t="s">
        <v>43</v>
      </c>
      <c r="V51" s="20"/>
      <c r="W51" s="20"/>
      <c r="X51" s="20"/>
      <c r="Y51" s="20"/>
      <c r="Z51" s="20"/>
      <c r="AA51" s="9" t="s">
        <v>36</v>
      </c>
      <c r="AC51" s="21" t="s">
        <v>46</v>
      </c>
      <c r="AD51" s="21"/>
    </row>
    <row r="52" spans="2:30" hidden="1" outlineLevel="1" x14ac:dyDescent="0.3">
      <c r="B52" s="27"/>
      <c r="C52" s="29"/>
      <c r="D52" s="21"/>
      <c r="E52" s="22">
        <f>E39</f>
        <v>0</v>
      </c>
      <c r="F52" s="22"/>
      <c r="G52" s="22"/>
      <c r="H52" s="22"/>
      <c r="I52" s="22">
        <f>I39</f>
        <v>0</v>
      </c>
      <c r="J52" s="22"/>
      <c r="K52" s="22"/>
      <c r="L52" s="22"/>
      <c r="M52" s="22"/>
      <c r="N52" s="22"/>
      <c r="O52" s="22">
        <f t="shared" ref="O52" si="11">O39</f>
        <v>0</v>
      </c>
      <c r="P52" s="22"/>
      <c r="Q52" s="22"/>
      <c r="R52" s="22"/>
      <c r="S52" s="22"/>
      <c r="T52" s="22"/>
      <c r="U52" s="22">
        <f t="shared" ref="U52" si="12">U39</f>
        <v>0</v>
      </c>
      <c r="V52" s="22"/>
      <c r="W52" s="22"/>
      <c r="X52" s="22"/>
      <c r="Y52" s="22"/>
      <c r="Z52" s="22"/>
      <c r="AA52" s="24">
        <f>AA39</f>
        <v>0</v>
      </c>
      <c r="AC52" s="26">
        <f>AC39</f>
        <v>24000</v>
      </c>
      <c r="AD52" s="26"/>
    </row>
    <row r="53" spans="2:30" ht="15" hidden="1" outlineLevel="1" thickBot="1" x14ac:dyDescent="0.35">
      <c r="B53" s="28"/>
      <c r="C53" s="30"/>
      <c r="D53" s="31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5"/>
      <c r="AC53" s="26"/>
      <c r="AD53" s="26"/>
    </row>
    <row r="54" spans="2:30" s="15" customFormat="1" collapsed="1" x14ac:dyDescent="0.3">
      <c r="B54" s="19"/>
      <c r="D54" s="16"/>
    </row>
    <row r="55" spans="2:30" ht="3.6" customHeight="1" thickBot="1" x14ac:dyDescent="0.35"/>
    <row r="56" spans="2:30" ht="16.8" customHeight="1" x14ac:dyDescent="0.3">
      <c r="B56" s="32" t="s">
        <v>0</v>
      </c>
      <c r="C56" s="34" t="s">
        <v>1</v>
      </c>
      <c r="D56" s="36" t="s">
        <v>27</v>
      </c>
      <c r="E56" s="38" t="s">
        <v>30</v>
      </c>
      <c r="F56" s="44" t="str">
        <f>$F$2</f>
        <v>Травень 2026р</v>
      </c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0" t="s">
        <v>33</v>
      </c>
      <c r="AC56" s="42" t="s">
        <v>47</v>
      </c>
      <c r="AD56" s="43"/>
    </row>
    <row r="57" spans="2:30" x14ac:dyDescent="0.3">
      <c r="B57" s="33"/>
      <c r="C57" s="35"/>
      <c r="D57" s="37"/>
      <c r="E57" s="39"/>
      <c r="F57" s="3" t="str">
        <f>$F$3</f>
        <v>ПТ</v>
      </c>
      <c r="G57" s="3" t="str">
        <f>$G$3</f>
        <v>ПН</v>
      </c>
      <c r="H57" s="3" t="str">
        <f>$H$3</f>
        <v>ВТ</v>
      </c>
      <c r="I57" s="3" t="str">
        <f>$I$3</f>
        <v>СР</v>
      </c>
      <c r="J57" s="3" t="str">
        <f>$J$3</f>
        <v>ЧТ</v>
      </c>
      <c r="K57" s="3" t="str">
        <f>$K$3</f>
        <v>ПТ</v>
      </c>
      <c r="L57" s="3" t="str">
        <f>$L$3</f>
        <v>ПН</v>
      </c>
      <c r="M57" s="3" t="str">
        <f>$M$3</f>
        <v>ВТ</v>
      </c>
      <c r="N57" s="3" t="str">
        <f>$N$3</f>
        <v>СР</v>
      </c>
      <c r="O57" s="3" t="str">
        <f>$O$3</f>
        <v>ЧТ</v>
      </c>
      <c r="P57" s="3" t="str">
        <f>$P$3</f>
        <v>ПТ</v>
      </c>
      <c r="Q57" s="3" t="str">
        <f>$Q$3</f>
        <v>ПН</v>
      </c>
      <c r="R57" s="3" t="str">
        <f>$R$3</f>
        <v>ВТ</v>
      </c>
      <c r="S57" s="3" t="str">
        <f>$S$3</f>
        <v>СР</v>
      </c>
      <c r="T57" s="3" t="str">
        <f>$T$3</f>
        <v>ЧТ</v>
      </c>
      <c r="U57" s="3" t="str">
        <f>$U$3</f>
        <v>ПТ</v>
      </c>
      <c r="V57" s="3" t="str">
        <f>$V$3</f>
        <v>ПН</v>
      </c>
      <c r="W57" s="3" t="str">
        <f>$W$3</f>
        <v>ВТ</v>
      </c>
      <c r="X57" s="3" t="str">
        <f>$X$3</f>
        <v>СР</v>
      </c>
      <c r="Y57" s="3" t="str">
        <f>$Y$3</f>
        <v>ЧТ</v>
      </c>
      <c r="Z57" s="3" t="str">
        <f>$Z$3</f>
        <v>ПТ</v>
      </c>
      <c r="AA57" s="41"/>
      <c r="AC57" s="11"/>
      <c r="AD57" s="12"/>
    </row>
    <row r="58" spans="2:30" x14ac:dyDescent="0.3">
      <c r="B58" s="33"/>
      <c r="C58" s="35"/>
      <c r="D58" s="37"/>
      <c r="E58" s="39"/>
      <c r="F58" s="3">
        <f>$F$4</f>
        <v>1</v>
      </c>
      <c r="G58" s="3">
        <f>$G$4</f>
        <v>4</v>
      </c>
      <c r="H58" s="3">
        <f>$H$4</f>
        <v>5</v>
      </c>
      <c r="I58" s="3">
        <f>$I$4</f>
        <v>6</v>
      </c>
      <c r="J58" s="3">
        <f>$J$4</f>
        <v>7</v>
      </c>
      <c r="K58" s="3">
        <f>$K$4</f>
        <v>8</v>
      </c>
      <c r="L58" s="3">
        <f>$L$4</f>
        <v>11</v>
      </c>
      <c r="M58" s="3">
        <f>$M$4</f>
        <v>12</v>
      </c>
      <c r="N58" s="3">
        <f>$N$4</f>
        <v>13</v>
      </c>
      <c r="O58" s="3">
        <f>$O$4</f>
        <v>14</v>
      </c>
      <c r="P58" s="3">
        <f>$P$4</f>
        <v>15</v>
      </c>
      <c r="Q58" s="3">
        <f>$Q$4</f>
        <v>18</v>
      </c>
      <c r="R58" s="3">
        <f>$R$4</f>
        <v>19</v>
      </c>
      <c r="S58" s="3">
        <f>$S$4</f>
        <v>20</v>
      </c>
      <c r="T58" s="3">
        <f>$T$4</f>
        <v>21</v>
      </c>
      <c r="U58" s="3">
        <f>$U$4</f>
        <v>22</v>
      </c>
      <c r="V58" s="3">
        <f>$V$4</f>
        <v>25</v>
      </c>
      <c r="W58" s="3">
        <f>$W$4</f>
        <v>26</v>
      </c>
      <c r="X58" s="3">
        <f>$X$4</f>
        <v>27</v>
      </c>
      <c r="Y58" s="3">
        <f>$Y$4</f>
        <v>28</v>
      </c>
      <c r="Z58" s="3">
        <f>$Z$4</f>
        <v>29</v>
      </c>
      <c r="AA58" s="41"/>
      <c r="AC58" s="11"/>
      <c r="AD58" s="12"/>
    </row>
    <row r="59" spans="2:30" x14ac:dyDescent="0.3">
      <c r="B59" s="27" t="s">
        <v>10</v>
      </c>
      <c r="C59" s="4" t="s">
        <v>9</v>
      </c>
      <c r="D59" s="17" t="s">
        <v>28</v>
      </c>
      <c r="E59" s="10">
        <f>AC66/AC62/8</f>
        <v>122.02380952380952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5">
        <f>SUM(F59:Z59)</f>
        <v>0</v>
      </c>
      <c r="AC59" s="13"/>
      <c r="AD59" s="14"/>
    </row>
    <row r="60" spans="2:30" ht="4.8" customHeight="1" x14ac:dyDescent="0.3">
      <c r="B60" s="2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8"/>
    </row>
    <row r="61" spans="2:30" x14ac:dyDescent="0.3">
      <c r="B61" s="27"/>
      <c r="C61" s="29" t="s">
        <v>37</v>
      </c>
      <c r="D61" s="21"/>
      <c r="E61" s="20" t="s">
        <v>31</v>
      </c>
      <c r="F61" s="20"/>
      <c r="G61" s="20"/>
      <c r="H61" s="20"/>
      <c r="I61" s="20" t="s">
        <v>40</v>
      </c>
      <c r="J61" s="20"/>
      <c r="K61" s="20"/>
      <c r="L61" s="20"/>
      <c r="M61" s="20"/>
      <c r="N61" s="20"/>
      <c r="O61" s="20" t="s">
        <v>34</v>
      </c>
      <c r="P61" s="20"/>
      <c r="Q61" s="20"/>
      <c r="R61" s="20"/>
      <c r="S61" s="20"/>
      <c r="T61" s="20"/>
      <c r="U61" s="20" t="s">
        <v>35</v>
      </c>
      <c r="V61" s="20"/>
      <c r="W61" s="20"/>
      <c r="X61" s="20"/>
      <c r="Y61" s="20"/>
      <c r="Z61" s="20"/>
      <c r="AA61" s="9" t="s">
        <v>36</v>
      </c>
      <c r="AC61" s="21" t="s">
        <v>45</v>
      </c>
      <c r="AD61" s="21"/>
    </row>
    <row r="62" spans="2:30" x14ac:dyDescent="0.3">
      <c r="B62" s="27"/>
      <c r="C62" s="29"/>
      <c r="D62" s="21"/>
      <c r="E62" s="22">
        <f>E59*AA59</f>
        <v>0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4">
        <f>E62+I62+O62-U62</f>
        <v>0</v>
      </c>
      <c r="AC62" s="21">
        <f>$AC$8</f>
        <v>21</v>
      </c>
      <c r="AD62" s="21"/>
    </row>
    <row r="63" spans="2:30" x14ac:dyDescent="0.3">
      <c r="B63" s="27"/>
      <c r="C63" s="29"/>
      <c r="D63" s="21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4"/>
      <c r="AC63" s="21"/>
      <c r="AD63" s="21"/>
    </row>
    <row r="64" spans="2:30" ht="4.8" customHeight="1" x14ac:dyDescent="0.3">
      <c r="B64" s="2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8"/>
    </row>
    <row r="65" spans="2:30" x14ac:dyDescent="0.3">
      <c r="B65" s="27"/>
      <c r="C65" s="29" t="s">
        <v>38</v>
      </c>
      <c r="D65" s="21"/>
      <c r="E65" s="20" t="s">
        <v>39</v>
      </c>
      <c r="F65" s="20"/>
      <c r="G65" s="20"/>
      <c r="H65" s="20"/>
      <c r="I65" s="20" t="s">
        <v>41</v>
      </c>
      <c r="J65" s="20"/>
      <c r="K65" s="20"/>
      <c r="L65" s="20"/>
      <c r="M65" s="20"/>
      <c r="N65" s="20"/>
      <c r="O65" s="20" t="s">
        <v>42</v>
      </c>
      <c r="P65" s="20"/>
      <c r="Q65" s="20"/>
      <c r="R65" s="20"/>
      <c r="S65" s="20"/>
      <c r="T65" s="20"/>
      <c r="U65" s="20" t="s">
        <v>43</v>
      </c>
      <c r="V65" s="20"/>
      <c r="W65" s="20"/>
      <c r="X65" s="20"/>
      <c r="Y65" s="20"/>
      <c r="Z65" s="20"/>
      <c r="AA65" s="9" t="s">
        <v>36</v>
      </c>
      <c r="AC65" s="21" t="s">
        <v>46</v>
      </c>
      <c r="AD65" s="21"/>
    </row>
    <row r="66" spans="2:30" x14ac:dyDescent="0.3">
      <c r="B66" s="27"/>
      <c r="C66" s="29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4">
        <f>E66+I66+O66+U66</f>
        <v>0</v>
      </c>
      <c r="AC66" s="26">
        <v>20500</v>
      </c>
      <c r="AD66" s="26"/>
    </row>
    <row r="67" spans="2:30" ht="15" thickBot="1" x14ac:dyDescent="0.35">
      <c r="B67" s="28"/>
      <c r="C67" s="30"/>
      <c r="D67" s="31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5"/>
      <c r="AC67" s="26"/>
      <c r="AD67" s="26"/>
    </row>
    <row r="68" spans="2:30" ht="55.2" hidden="1" customHeight="1" outlineLevel="1" thickBot="1" x14ac:dyDescent="0.35"/>
    <row r="69" spans="2:30" ht="16.8" hidden="1" customHeight="1" outlineLevel="1" x14ac:dyDescent="0.3">
      <c r="B69" s="32" t="s">
        <v>0</v>
      </c>
      <c r="C69" s="34" t="s">
        <v>1</v>
      </c>
      <c r="D69" s="36" t="s">
        <v>27</v>
      </c>
      <c r="E69" s="38" t="s">
        <v>30</v>
      </c>
      <c r="F69" s="34" t="str">
        <f>F56</f>
        <v>Травень 2026р</v>
      </c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40" t="s">
        <v>33</v>
      </c>
    </row>
    <row r="70" spans="2:30" hidden="1" outlineLevel="1" x14ac:dyDescent="0.3">
      <c r="B70" s="33"/>
      <c r="C70" s="35"/>
      <c r="D70" s="37"/>
      <c r="E70" s="39"/>
      <c r="F70" s="3" t="str">
        <f>F57</f>
        <v>ПТ</v>
      </c>
      <c r="G70" s="3" t="str">
        <f t="shared" ref="G70:Z70" si="13">G57</f>
        <v>ПН</v>
      </c>
      <c r="H70" s="3" t="str">
        <f t="shared" si="13"/>
        <v>ВТ</v>
      </c>
      <c r="I70" s="3" t="str">
        <f t="shared" si="13"/>
        <v>СР</v>
      </c>
      <c r="J70" s="3" t="str">
        <f t="shared" si="13"/>
        <v>ЧТ</v>
      </c>
      <c r="K70" s="3" t="str">
        <f t="shared" si="13"/>
        <v>ПТ</v>
      </c>
      <c r="L70" s="3" t="str">
        <f t="shared" si="13"/>
        <v>ПН</v>
      </c>
      <c r="M70" s="3" t="str">
        <f t="shared" si="13"/>
        <v>ВТ</v>
      </c>
      <c r="N70" s="3" t="str">
        <f t="shared" si="13"/>
        <v>СР</v>
      </c>
      <c r="O70" s="3" t="str">
        <f t="shared" si="13"/>
        <v>ЧТ</v>
      </c>
      <c r="P70" s="3" t="str">
        <f t="shared" si="13"/>
        <v>ПТ</v>
      </c>
      <c r="Q70" s="3" t="str">
        <f t="shared" si="13"/>
        <v>ПН</v>
      </c>
      <c r="R70" s="3" t="str">
        <f t="shared" si="13"/>
        <v>ВТ</v>
      </c>
      <c r="S70" s="3" t="str">
        <f t="shared" si="13"/>
        <v>СР</v>
      </c>
      <c r="T70" s="3" t="str">
        <f t="shared" si="13"/>
        <v>ЧТ</v>
      </c>
      <c r="U70" s="3" t="str">
        <f t="shared" si="13"/>
        <v>ПТ</v>
      </c>
      <c r="V70" s="3" t="str">
        <f t="shared" si="13"/>
        <v>ПН</v>
      </c>
      <c r="W70" s="3" t="str">
        <f t="shared" si="13"/>
        <v>ВТ</v>
      </c>
      <c r="X70" s="3" t="str">
        <f t="shared" si="13"/>
        <v>СР</v>
      </c>
      <c r="Y70" s="3" t="str">
        <f t="shared" si="13"/>
        <v>ЧТ</v>
      </c>
      <c r="Z70" s="3" t="str">
        <f t="shared" si="13"/>
        <v>ПТ</v>
      </c>
      <c r="AA70" s="41"/>
    </row>
    <row r="71" spans="2:30" hidden="1" outlineLevel="1" x14ac:dyDescent="0.3">
      <c r="B71" s="33"/>
      <c r="C71" s="35"/>
      <c r="D71" s="37"/>
      <c r="E71" s="39"/>
      <c r="F71" s="3">
        <f>F58</f>
        <v>1</v>
      </c>
      <c r="G71" s="3">
        <f t="shared" ref="G71:X71" si="14">G58</f>
        <v>4</v>
      </c>
      <c r="H71" s="3">
        <f t="shared" si="14"/>
        <v>5</v>
      </c>
      <c r="I71" s="3">
        <f t="shared" si="14"/>
        <v>6</v>
      </c>
      <c r="J71" s="3">
        <f t="shared" si="14"/>
        <v>7</v>
      </c>
      <c r="K71" s="3">
        <f t="shared" si="14"/>
        <v>8</v>
      </c>
      <c r="L71" s="3">
        <f t="shared" si="14"/>
        <v>11</v>
      </c>
      <c r="M71" s="3">
        <f t="shared" si="14"/>
        <v>12</v>
      </c>
      <c r="N71" s="3">
        <f t="shared" si="14"/>
        <v>13</v>
      </c>
      <c r="O71" s="3">
        <f t="shared" si="14"/>
        <v>14</v>
      </c>
      <c r="P71" s="3">
        <f t="shared" si="14"/>
        <v>15</v>
      </c>
      <c r="Q71" s="3">
        <f t="shared" si="14"/>
        <v>18</v>
      </c>
      <c r="R71" s="3">
        <f t="shared" si="14"/>
        <v>19</v>
      </c>
      <c r="S71" s="3">
        <f t="shared" si="14"/>
        <v>20</v>
      </c>
      <c r="T71" s="3">
        <f t="shared" si="14"/>
        <v>21</v>
      </c>
      <c r="U71" s="3">
        <f t="shared" si="14"/>
        <v>22</v>
      </c>
      <c r="V71" s="3">
        <f t="shared" si="14"/>
        <v>25</v>
      </c>
      <c r="W71" s="3">
        <f t="shared" si="14"/>
        <v>26</v>
      </c>
      <c r="X71" s="3">
        <f t="shared" si="14"/>
        <v>27</v>
      </c>
      <c r="Y71" s="3">
        <f>Y58</f>
        <v>28</v>
      </c>
      <c r="Z71" s="3">
        <f t="shared" ref="Z71" si="15">Z58</f>
        <v>29</v>
      </c>
      <c r="AA71" s="41"/>
    </row>
    <row r="72" spans="2:30" hidden="1" outlineLevel="1" x14ac:dyDescent="0.3">
      <c r="B72" s="27" t="str">
        <f>B59</f>
        <v>Сенько Катерина</v>
      </c>
      <c r="C72" s="4" t="str">
        <f>C59</f>
        <v>оператор устаткування</v>
      </c>
      <c r="D72" s="3" t="str">
        <f>D59</f>
        <v>Так</v>
      </c>
      <c r="E72" s="10">
        <f>E59</f>
        <v>122.02380952380952</v>
      </c>
      <c r="F72" s="3">
        <f>F59</f>
        <v>0</v>
      </c>
      <c r="G72" s="3">
        <f t="shared" ref="G72:Z72" si="16">G59</f>
        <v>0</v>
      </c>
      <c r="H72" s="3">
        <f t="shared" si="16"/>
        <v>0</v>
      </c>
      <c r="I72" s="3">
        <f t="shared" si="16"/>
        <v>0</v>
      </c>
      <c r="J72" s="3">
        <f t="shared" si="16"/>
        <v>0</v>
      </c>
      <c r="K72" s="3">
        <f t="shared" si="16"/>
        <v>0</v>
      </c>
      <c r="L72" s="3">
        <f t="shared" si="16"/>
        <v>0</v>
      </c>
      <c r="M72" s="3">
        <f t="shared" si="16"/>
        <v>0</v>
      </c>
      <c r="N72" s="3">
        <f t="shared" si="16"/>
        <v>0</v>
      </c>
      <c r="O72" s="3">
        <f t="shared" si="16"/>
        <v>0</v>
      </c>
      <c r="P72" s="3">
        <f t="shared" si="16"/>
        <v>0</v>
      </c>
      <c r="Q72" s="3">
        <f t="shared" si="16"/>
        <v>0</v>
      </c>
      <c r="R72" s="3">
        <f t="shared" si="16"/>
        <v>0</v>
      </c>
      <c r="S72" s="3">
        <f t="shared" si="16"/>
        <v>0</v>
      </c>
      <c r="T72" s="3">
        <f t="shared" si="16"/>
        <v>0</v>
      </c>
      <c r="U72" s="3">
        <f t="shared" si="16"/>
        <v>0</v>
      </c>
      <c r="V72" s="3">
        <f t="shared" si="16"/>
        <v>0</v>
      </c>
      <c r="W72" s="3">
        <f t="shared" si="16"/>
        <v>0</v>
      </c>
      <c r="X72" s="3">
        <f t="shared" si="16"/>
        <v>0</v>
      </c>
      <c r="Y72" s="3">
        <f t="shared" si="16"/>
        <v>0</v>
      </c>
      <c r="Z72" s="3">
        <f t="shared" si="16"/>
        <v>0</v>
      </c>
      <c r="AA72" s="5">
        <f>AA59</f>
        <v>0</v>
      </c>
    </row>
    <row r="73" spans="2:30" ht="7.8" hidden="1" customHeight="1" outlineLevel="1" x14ac:dyDescent="0.3">
      <c r="B73" s="2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8"/>
    </row>
    <row r="74" spans="2:30" hidden="1" outlineLevel="1" x14ac:dyDescent="0.3">
      <c r="B74" s="27"/>
      <c r="C74" s="29" t="s">
        <v>37</v>
      </c>
      <c r="D74" s="21"/>
      <c r="E74" s="20" t="s">
        <v>31</v>
      </c>
      <c r="F74" s="20"/>
      <c r="G74" s="20"/>
      <c r="H74" s="20"/>
      <c r="I74" s="20" t="s">
        <v>40</v>
      </c>
      <c r="J74" s="20"/>
      <c r="K74" s="20"/>
      <c r="L74" s="20"/>
      <c r="M74" s="20"/>
      <c r="N74" s="20"/>
      <c r="O74" s="20" t="s">
        <v>34</v>
      </c>
      <c r="P74" s="20"/>
      <c r="Q74" s="20"/>
      <c r="R74" s="20"/>
      <c r="S74" s="20"/>
      <c r="T74" s="20"/>
      <c r="U74" s="20" t="s">
        <v>35</v>
      </c>
      <c r="V74" s="20"/>
      <c r="W74" s="20"/>
      <c r="X74" s="20"/>
      <c r="Y74" s="20"/>
      <c r="Z74" s="20"/>
      <c r="AA74" s="9" t="s">
        <v>36</v>
      </c>
      <c r="AC74" s="21" t="s">
        <v>45</v>
      </c>
      <c r="AD74" s="21"/>
    </row>
    <row r="75" spans="2:30" hidden="1" outlineLevel="1" x14ac:dyDescent="0.3">
      <c r="B75" s="27"/>
      <c r="C75" s="29"/>
      <c r="D75" s="21"/>
      <c r="E75" s="22">
        <f>E62</f>
        <v>0</v>
      </c>
      <c r="F75" s="22"/>
      <c r="G75" s="22"/>
      <c r="H75" s="22"/>
      <c r="I75" s="22">
        <f>I62</f>
        <v>0</v>
      </c>
      <c r="J75" s="22"/>
      <c r="K75" s="22"/>
      <c r="L75" s="22"/>
      <c r="M75" s="22"/>
      <c r="N75" s="22"/>
      <c r="O75" s="22">
        <f t="shared" ref="O75" si="17">O62</f>
        <v>0</v>
      </c>
      <c r="P75" s="22"/>
      <c r="Q75" s="22"/>
      <c r="R75" s="22"/>
      <c r="S75" s="22"/>
      <c r="T75" s="22"/>
      <c r="U75" s="22">
        <f>U62</f>
        <v>0</v>
      </c>
      <c r="V75" s="22"/>
      <c r="W75" s="22"/>
      <c r="X75" s="22"/>
      <c r="Y75" s="22"/>
      <c r="Z75" s="22"/>
      <c r="AA75" s="24">
        <f>AA62</f>
        <v>0</v>
      </c>
      <c r="AC75" s="21">
        <f>AC62</f>
        <v>21</v>
      </c>
      <c r="AD75" s="21"/>
    </row>
    <row r="76" spans="2:30" hidden="1" outlineLevel="1" x14ac:dyDescent="0.3">
      <c r="B76" s="27"/>
      <c r="C76" s="29"/>
      <c r="D76" s="21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4"/>
      <c r="AC76" s="21"/>
      <c r="AD76" s="21"/>
    </row>
    <row r="77" spans="2:30" ht="7.2" hidden="1" customHeight="1" outlineLevel="1" x14ac:dyDescent="0.3">
      <c r="B77" s="2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8"/>
    </row>
    <row r="78" spans="2:30" hidden="1" outlineLevel="1" x14ac:dyDescent="0.3">
      <c r="B78" s="27"/>
      <c r="C78" s="29" t="s">
        <v>38</v>
      </c>
      <c r="D78" s="21"/>
      <c r="E78" s="20" t="s">
        <v>39</v>
      </c>
      <c r="F78" s="20"/>
      <c r="G78" s="20"/>
      <c r="H78" s="20"/>
      <c r="I78" s="20" t="s">
        <v>41</v>
      </c>
      <c r="J78" s="20"/>
      <c r="K78" s="20"/>
      <c r="L78" s="20"/>
      <c r="M78" s="20"/>
      <c r="N78" s="20"/>
      <c r="O78" s="20" t="s">
        <v>42</v>
      </c>
      <c r="P78" s="20"/>
      <c r="Q78" s="20"/>
      <c r="R78" s="20"/>
      <c r="S78" s="20"/>
      <c r="T78" s="20"/>
      <c r="U78" s="20" t="s">
        <v>43</v>
      </c>
      <c r="V78" s="20"/>
      <c r="W78" s="20"/>
      <c r="X78" s="20"/>
      <c r="Y78" s="20"/>
      <c r="Z78" s="20"/>
      <c r="AA78" s="9" t="s">
        <v>36</v>
      </c>
      <c r="AC78" s="21" t="s">
        <v>46</v>
      </c>
      <c r="AD78" s="21"/>
    </row>
    <row r="79" spans="2:30" hidden="1" outlineLevel="1" x14ac:dyDescent="0.3">
      <c r="B79" s="27"/>
      <c r="C79" s="29"/>
      <c r="D79" s="21"/>
      <c r="E79" s="22">
        <f>E66</f>
        <v>0</v>
      </c>
      <c r="F79" s="22"/>
      <c r="G79" s="22"/>
      <c r="H79" s="22"/>
      <c r="I79" s="22">
        <f>I66</f>
        <v>0</v>
      </c>
      <c r="J79" s="22"/>
      <c r="K79" s="22"/>
      <c r="L79" s="22"/>
      <c r="M79" s="22"/>
      <c r="N79" s="22"/>
      <c r="O79" s="22">
        <f t="shared" ref="O79" si="18">O66</f>
        <v>0</v>
      </c>
      <c r="P79" s="22"/>
      <c r="Q79" s="22"/>
      <c r="R79" s="22"/>
      <c r="S79" s="22"/>
      <c r="T79" s="22"/>
      <c r="U79" s="22">
        <f t="shared" ref="U79" si="19">U66</f>
        <v>0</v>
      </c>
      <c r="V79" s="22"/>
      <c r="W79" s="22"/>
      <c r="X79" s="22"/>
      <c r="Y79" s="22"/>
      <c r="Z79" s="22"/>
      <c r="AA79" s="24">
        <f>AA66</f>
        <v>0</v>
      </c>
      <c r="AC79" s="26">
        <f>AC66</f>
        <v>20500</v>
      </c>
      <c r="AD79" s="26"/>
    </row>
    <row r="80" spans="2:30" ht="15" hidden="1" outlineLevel="1" thickBot="1" x14ac:dyDescent="0.35">
      <c r="B80" s="28"/>
      <c r="C80" s="30"/>
      <c r="D80" s="31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5"/>
      <c r="AC80" s="26"/>
      <c r="AD80" s="26"/>
    </row>
    <row r="81" spans="2:30" s="15" customFormat="1" collapsed="1" x14ac:dyDescent="0.3">
      <c r="B81" s="19"/>
      <c r="D81" s="16"/>
    </row>
    <row r="82" spans="2:30" ht="3.6" customHeight="1" thickBot="1" x14ac:dyDescent="0.35"/>
    <row r="83" spans="2:30" ht="16.8" customHeight="1" x14ac:dyDescent="0.3">
      <c r="B83" s="32" t="s">
        <v>0</v>
      </c>
      <c r="C83" s="34" t="s">
        <v>1</v>
      </c>
      <c r="D83" s="36" t="s">
        <v>27</v>
      </c>
      <c r="E83" s="38" t="s">
        <v>30</v>
      </c>
      <c r="F83" s="44" t="str">
        <f>$F$2</f>
        <v>Травень 2026р</v>
      </c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0" t="s">
        <v>33</v>
      </c>
      <c r="AC83" s="42" t="s">
        <v>47</v>
      </c>
      <c r="AD83" s="43"/>
    </row>
    <row r="84" spans="2:30" x14ac:dyDescent="0.3">
      <c r="B84" s="33"/>
      <c r="C84" s="35"/>
      <c r="D84" s="37"/>
      <c r="E84" s="39"/>
      <c r="F84" s="3" t="str">
        <f>$F$3</f>
        <v>ПТ</v>
      </c>
      <c r="G84" s="3" t="str">
        <f>$G$3</f>
        <v>ПН</v>
      </c>
      <c r="H84" s="3" t="str">
        <f>$H$3</f>
        <v>ВТ</v>
      </c>
      <c r="I84" s="3" t="str">
        <f>$I$3</f>
        <v>СР</v>
      </c>
      <c r="J84" s="3" t="str">
        <f>$J$3</f>
        <v>ЧТ</v>
      </c>
      <c r="K84" s="3" t="str">
        <f>$K$3</f>
        <v>ПТ</v>
      </c>
      <c r="L84" s="3" t="str">
        <f>$L$3</f>
        <v>ПН</v>
      </c>
      <c r="M84" s="3" t="str">
        <f>$M$3</f>
        <v>ВТ</v>
      </c>
      <c r="N84" s="3" t="str">
        <f>$N$3</f>
        <v>СР</v>
      </c>
      <c r="O84" s="3" t="str">
        <f>$O$3</f>
        <v>ЧТ</v>
      </c>
      <c r="P84" s="3" t="str">
        <f>$P$3</f>
        <v>ПТ</v>
      </c>
      <c r="Q84" s="3" t="str">
        <f>$Q$3</f>
        <v>ПН</v>
      </c>
      <c r="R84" s="3" t="str">
        <f>$R$3</f>
        <v>ВТ</v>
      </c>
      <c r="S84" s="3" t="str">
        <f>$S$3</f>
        <v>СР</v>
      </c>
      <c r="T84" s="3" t="str">
        <f>$T$3</f>
        <v>ЧТ</v>
      </c>
      <c r="U84" s="3" t="str">
        <f>$U$3</f>
        <v>ПТ</v>
      </c>
      <c r="V84" s="3" t="str">
        <f>$V$3</f>
        <v>ПН</v>
      </c>
      <c r="W84" s="3" t="str">
        <f>$W$3</f>
        <v>ВТ</v>
      </c>
      <c r="X84" s="3" t="str">
        <f>$X$3</f>
        <v>СР</v>
      </c>
      <c r="Y84" s="3" t="str">
        <f>$Y$3</f>
        <v>ЧТ</v>
      </c>
      <c r="Z84" s="3" t="str">
        <f>$Z$3</f>
        <v>ПТ</v>
      </c>
      <c r="AA84" s="41"/>
      <c r="AC84" s="11"/>
      <c r="AD84" s="12"/>
    </row>
    <row r="85" spans="2:30" x14ac:dyDescent="0.3">
      <c r="B85" s="33"/>
      <c r="C85" s="35"/>
      <c r="D85" s="37"/>
      <c r="E85" s="39"/>
      <c r="F85" s="3">
        <f>$F$4</f>
        <v>1</v>
      </c>
      <c r="G85" s="3">
        <f>$G$4</f>
        <v>4</v>
      </c>
      <c r="H85" s="3">
        <f>$H$4</f>
        <v>5</v>
      </c>
      <c r="I85" s="3">
        <f>$I$4</f>
        <v>6</v>
      </c>
      <c r="J85" s="3">
        <f>$J$4</f>
        <v>7</v>
      </c>
      <c r="K85" s="3">
        <f>$K$4</f>
        <v>8</v>
      </c>
      <c r="L85" s="3">
        <f>$L$4</f>
        <v>11</v>
      </c>
      <c r="M85" s="3">
        <f>$M$4</f>
        <v>12</v>
      </c>
      <c r="N85" s="3">
        <f>$N$4</f>
        <v>13</v>
      </c>
      <c r="O85" s="3">
        <f>$O$4</f>
        <v>14</v>
      </c>
      <c r="P85" s="3">
        <f>$P$4</f>
        <v>15</v>
      </c>
      <c r="Q85" s="3">
        <f>$Q$4</f>
        <v>18</v>
      </c>
      <c r="R85" s="3">
        <f>$R$4</f>
        <v>19</v>
      </c>
      <c r="S85" s="3">
        <f>$S$4</f>
        <v>20</v>
      </c>
      <c r="T85" s="3">
        <f>$T$4</f>
        <v>21</v>
      </c>
      <c r="U85" s="3">
        <f>$U$4</f>
        <v>22</v>
      </c>
      <c r="V85" s="3">
        <f>$V$4</f>
        <v>25</v>
      </c>
      <c r="W85" s="3">
        <f>$W$4</f>
        <v>26</v>
      </c>
      <c r="X85" s="3">
        <f>$X$4</f>
        <v>27</v>
      </c>
      <c r="Y85" s="3">
        <f>$Y$4</f>
        <v>28</v>
      </c>
      <c r="Z85" s="3">
        <f>$Z$4</f>
        <v>29</v>
      </c>
      <c r="AA85" s="41"/>
      <c r="AC85" s="11"/>
      <c r="AD85" s="12"/>
    </row>
    <row r="86" spans="2:30" x14ac:dyDescent="0.3">
      <c r="B86" s="27" t="s">
        <v>12</v>
      </c>
      <c r="C86" s="4" t="s">
        <v>9</v>
      </c>
      <c r="D86" s="17" t="s">
        <v>28</v>
      </c>
      <c r="E86" s="10">
        <f>AC93/AC89/8</f>
        <v>119.04761904761905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5">
        <f>SUM(F86:Z86)</f>
        <v>0</v>
      </c>
      <c r="AC86" s="13"/>
      <c r="AD86" s="14"/>
    </row>
    <row r="87" spans="2:30" ht="4.8" customHeight="1" x14ac:dyDescent="0.3">
      <c r="B87" s="2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8"/>
    </row>
    <row r="88" spans="2:30" x14ac:dyDescent="0.3">
      <c r="B88" s="27"/>
      <c r="C88" s="29" t="s">
        <v>37</v>
      </c>
      <c r="D88" s="21"/>
      <c r="E88" s="20" t="s">
        <v>31</v>
      </c>
      <c r="F88" s="20"/>
      <c r="G88" s="20"/>
      <c r="H88" s="20"/>
      <c r="I88" s="20" t="s">
        <v>40</v>
      </c>
      <c r="J88" s="20"/>
      <c r="K88" s="20"/>
      <c r="L88" s="20"/>
      <c r="M88" s="20"/>
      <c r="N88" s="20"/>
      <c r="O88" s="20" t="s">
        <v>34</v>
      </c>
      <c r="P88" s="20"/>
      <c r="Q88" s="20"/>
      <c r="R88" s="20"/>
      <c r="S88" s="20"/>
      <c r="T88" s="20"/>
      <c r="U88" s="20" t="s">
        <v>35</v>
      </c>
      <c r="V88" s="20"/>
      <c r="W88" s="20"/>
      <c r="X88" s="20"/>
      <c r="Y88" s="20"/>
      <c r="Z88" s="20"/>
      <c r="AA88" s="9" t="s">
        <v>36</v>
      </c>
      <c r="AC88" s="21" t="s">
        <v>45</v>
      </c>
      <c r="AD88" s="21"/>
    </row>
    <row r="89" spans="2:30" x14ac:dyDescent="0.3">
      <c r="B89" s="27"/>
      <c r="C89" s="29"/>
      <c r="D89" s="21"/>
      <c r="E89" s="22">
        <f>E86*AA86</f>
        <v>0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4">
        <f>E89+I89+O89-U89</f>
        <v>0</v>
      </c>
      <c r="AC89" s="21">
        <f>$AC$8</f>
        <v>21</v>
      </c>
      <c r="AD89" s="21"/>
    </row>
    <row r="90" spans="2:30" x14ac:dyDescent="0.3">
      <c r="B90" s="27"/>
      <c r="C90" s="29"/>
      <c r="D90" s="21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4"/>
      <c r="AC90" s="21"/>
      <c r="AD90" s="21"/>
    </row>
    <row r="91" spans="2:30" ht="4.8" customHeight="1" x14ac:dyDescent="0.3">
      <c r="B91" s="2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8"/>
    </row>
    <row r="92" spans="2:30" x14ac:dyDescent="0.3">
      <c r="B92" s="27"/>
      <c r="C92" s="29" t="s">
        <v>38</v>
      </c>
      <c r="D92" s="21"/>
      <c r="E92" s="20" t="s">
        <v>39</v>
      </c>
      <c r="F92" s="20"/>
      <c r="G92" s="20"/>
      <c r="H92" s="20"/>
      <c r="I92" s="20" t="s">
        <v>41</v>
      </c>
      <c r="J92" s="20"/>
      <c r="K92" s="20"/>
      <c r="L92" s="20"/>
      <c r="M92" s="20"/>
      <c r="N92" s="20"/>
      <c r="O92" s="20" t="s">
        <v>42</v>
      </c>
      <c r="P92" s="20"/>
      <c r="Q92" s="20"/>
      <c r="R92" s="20"/>
      <c r="S92" s="20"/>
      <c r="T92" s="20"/>
      <c r="U92" s="20" t="s">
        <v>43</v>
      </c>
      <c r="V92" s="20"/>
      <c r="W92" s="20"/>
      <c r="X92" s="20"/>
      <c r="Y92" s="20"/>
      <c r="Z92" s="20"/>
      <c r="AA92" s="9" t="s">
        <v>36</v>
      </c>
      <c r="AC92" s="21" t="s">
        <v>46</v>
      </c>
      <c r="AD92" s="21"/>
    </row>
    <row r="93" spans="2:30" x14ac:dyDescent="0.3">
      <c r="B93" s="27"/>
      <c r="C93" s="29"/>
      <c r="D93" s="2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4">
        <f>E93+I93+O93+U93</f>
        <v>0</v>
      </c>
      <c r="AC93" s="26">
        <v>20000</v>
      </c>
      <c r="AD93" s="26"/>
    </row>
    <row r="94" spans="2:30" ht="15" thickBot="1" x14ac:dyDescent="0.35">
      <c r="B94" s="28"/>
      <c r="C94" s="30"/>
      <c r="D94" s="31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5"/>
      <c r="AC94" s="26"/>
      <c r="AD94" s="26"/>
    </row>
    <row r="95" spans="2:30" ht="55.2" hidden="1" customHeight="1" outlineLevel="1" thickBot="1" x14ac:dyDescent="0.35"/>
    <row r="96" spans="2:30" ht="16.8" hidden="1" customHeight="1" outlineLevel="1" x14ac:dyDescent="0.3">
      <c r="B96" s="32" t="s">
        <v>0</v>
      </c>
      <c r="C96" s="34" t="s">
        <v>1</v>
      </c>
      <c r="D96" s="36" t="s">
        <v>27</v>
      </c>
      <c r="E96" s="38" t="s">
        <v>30</v>
      </c>
      <c r="F96" s="34" t="str">
        <f>F83</f>
        <v>Травень 2026р</v>
      </c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40" t="s">
        <v>33</v>
      </c>
    </row>
    <row r="97" spans="2:30" hidden="1" outlineLevel="1" x14ac:dyDescent="0.3">
      <c r="B97" s="33"/>
      <c r="C97" s="35"/>
      <c r="D97" s="37"/>
      <c r="E97" s="39"/>
      <c r="F97" s="3" t="str">
        <f>F84</f>
        <v>ПТ</v>
      </c>
      <c r="G97" s="3" t="str">
        <f t="shared" ref="G97:Z97" si="20">G84</f>
        <v>ПН</v>
      </c>
      <c r="H97" s="3" t="str">
        <f t="shared" si="20"/>
        <v>ВТ</v>
      </c>
      <c r="I97" s="3" t="str">
        <f t="shared" si="20"/>
        <v>СР</v>
      </c>
      <c r="J97" s="3" t="str">
        <f t="shared" si="20"/>
        <v>ЧТ</v>
      </c>
      <c r="K97" s="3" t="str">
        <f t="shared" si="20"/>
        <v>ПТ</v>
      </c>
      <c r="L97" s="3" t="str">
        <f t="shared" si="20"/>
        <v>ПН</v>
      </c>
      <c r="M97" s="3" t="str">
        <f t="shared" si="20"/>
        <v>ВТ</v>
      </c>
      <c r="N97" s="3" t="str">
        <f t="shared" si="20"/>
        <v>СР</v>
      </c>
      <c r="O97" s="3" t="str">
        <f t="shared" si="20"/>
        <v>ЧТ</v>
      </c>
      <c r="P97" s="3" t="str">
        <f t="shared" si="20"/>
        <v>ПТ</v>
      </c>
      <c r="Q97" s="3" t="str">
        <f t="shared" si="20"/>
        <v>ПН</v>
      </c>
      <c r="R97" s="3" t="str">
        <f t="shared" si="20"/>
        <v>ВТ</v>
      </c>
      <c r="S97" s="3" t="str">
        <f t="shared" si="20"/>
        <v>СР</v>
      </c>
      <c r="T97" s="3" t="str">
        <f t="shared" si="20"/>
        <v>ЧТ</v>
      </c>
      <c r="U97" s="3" t="str">
        <f t="shared" si="20"/>
        <v>ПТ</v>
      </c>
      <c r="V97" s="3" t="str">
        <f t="shared" si="20"/>
        <v>ПН</v>
      </c>
      <c r="W97" s="3" t="str">
        <f t="shared" si="20"/>
        <v>ВТ</v>
      </c>
      <c r="X97" s="3" t="str">
        <f t="shared" si="20"/>
        <v>СР</v>
      </c>
      <c r="Y97" s="3" t="str">
        <f t="shared" si="20"/>
        <v>ЧТ</v>
      </c>
      <c r="Z97" s="3" t="str">
        <f t="shared" si="20"/>
        <v>ПТ</v>
      </c>
      <c r="AA97" s="41"/>
    </row>
    <row r="98" spans="2:30" hidden="1" outlineLevel="1" x14ac:dyDescent="0.3">
      <c r="B98" s="33"/>
      <c r="C98" s="35"/>
      <c r="D98" s="37"/>
      <c r="E98" s="39"/>
      <c r="F98" s="3">
        <f>F85</f>
        <v>1</v>
      </c>
      <c r="G98" s="3">
        <f t="shared" ref="G98:X98" si="21">G85</f>
        <v>4</v>
      </c>
      <c r="H98" s="3">
        <f t="shared" si="21"/>
        <v>5</v>
      </c>
      <c r="I98" s="3">
        <f t="shared" si="21"/>
        <v>6</v>
      </c>
      <c r="J98" s="3">
        <f t="shared" si="21"/>
        <v>7</v>
      </c>
      <c r="K98" s="3">
        <f t="shared" si="21"/>
        <v>8</v>
      </c>
      <c r="L98" s="3">
        <f t="shared" si="21"/>
        <v>11</v>
      </c>
      <c r="M98" s="3">
        <f t="shared" si="21"/>
        <v>12</v>
      </c>
      <c r="N98" s="3">
        <f t="shared" si="21"/>
        <v>13</v>
      </c>
      <c r="O98" s="3">
        <f t="shared" si="21"/>
        <v>14</v>
      </c>
      <c r="P98" s="3">
        <f t="shared" si="21"/>
        <v>15</v>
      </c>
      <c r="Q98" s="3">
        <f t="shared" si="21"/>
        <v>18</v>
      </c>
      <c r="R98" s="3">
        <f t="shared" si="21"/>
        <v>19</v>
      </c>
      <c r="S98" s="3">
        <f t="shared" si="21"/>
        <v>20</v>
      </c>
      <c r="T98" s="3">
        <f t="shared" si="21"/>
        <v>21</v>
      </c>
      <c r="U98" s="3">
        <f t="shared" si="21"/>
        <v>22</v>
      </c>
      <c r="V98" s="3">
        <f t="shared" si="21"/>
        <v>25</v>
      </c>
      <c r="W98" s="3">
        <f t="shared" si="21"/>
        <v>26</v>
      </c>
      <c r="X98" s="3">
        <f t="shared" si="21"/>
        <v>27</v>
      </c>
      <c r="Y98" s="3">
        <f>Y85</f>
        <v>28</v>
      </c>
      <c r="Z98" s="3">
        <f t="shared" ref="Z98" si="22">Z85</f>
        <v>29</v>
      </c>
      <c r="AA98" s="41"/>
    </row>
    <row r="99" spans="2:30" hidden="1" outlineLevel="1" x14ac:dyDescent="0.3">
      <c r="B99" s="27" t="str">
        <f>B86</f>
        <v>Ануфрієва Наталія</v>
      </c>
      <c r="C99" s="4" t="str">
        <f>C86</f>
        <v>оператор устаткування</v>
      </c>
      <c r="D99" s="3" t="str">
        <f>D86</f>
        <v>Так</v>
      </c>
      <c r="E99" s="10">
        <f>E86</f>
        <v>119.04761904761905</v>
      </c>
      <c r="F99" s="3">
        <f>F86</f>
        <v>0</v>
      </c>
      <c r="G99" s="3">
        <f t="shared" ref="G99:Z99" si="23">G86</f>
        <v>0</v>
      </c>
      <c r="H99" s="3">
        <f t="shared" si="23"/>
        <v>0</v>
      </c>
      <c r="I99" s="3">
        <f t="shared" si="23"/>
        <v>0</v>
      </c>
      <c r="J99" s="3">
        <f t="shared" si="23"/>
        <v>0</v>
      </c>
      <c r="K99" s="3">
        <f t="shared" si="23"/>
        <v>0</v>
      </c>
      <c r="L99" s="3">
        <f t="shared" si="23"/>
        <v>0</v>
      </c>
      <c r="M99" s="3">
        <f t="shared" si="23"/>
        <v>0</v>
      </c>
      <c r="N99" s="3">
        <f t="shared" si="23"/>
        <v>0</v>
      </c>
      <c r="O99" s="3">
        <f t="shared" si="23"/>
        <v>0</v>
      </c>
      <c r="P99" s="3">
        <f t="shared" si="23"/>
        <v>0</v>
      </c>
      <c r="Q99" s="3">
        <f t="shared" si="23"/>
        <v>0</v>
      </c>
      <c r="R99" s="3">
        <f t="shared" si="23"/>
        <v>0</v>
      </c>
      <c r="S99" s="3">
        <f t="shared" si="23"/>
        <v>0</v>
      </c>
      <c r="T99" s="3">
        <f t="shared" si="23"/>
        <v>0</v>
      </c>
      <c r="U99" s="3">
        <f t="shared" si="23"/>
        <v>0</v>
      </c>
      <c r="V99" s="3">
        <f t="shared" si="23"/>
        <v>0</v>
      </c>
      <c r="W99" s="3">
        <f t="shared" si="23"/>
        <v>0</v>
      </c>
      <c r="X99" s="3">
        <f t="shared" si="23"/>
        <v>0</v>
      </c>
      <c r="Y99" s="3">
        <f t="shared" si="23"/>
        <v>0</v>
      </c>
      <c r="Z99" s="3">
        <f t="shared" si="23"/>
        <v>0</v>
      </c>
      <c r="AA99" s="5">
        <f>AA86</f>
        <v>0</v>
      </c>
    </row>
    <row r="100" spans="2:30" ht="7.8" hidden="1" customHeight="1" outlineLevel="1" x14ac:dyDescent="0.3">
      <c r="B100" s="2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8"/>
    </row>
    <row r="101" spans="2:30" hidden="1" outlineLevel="1" x14ac:dyDescent="0.3">
      <c r="B101" s="27"/>
      <c r="C101" s="29" t="s">
        <v>37</v>
      </c>
      <c r="D101" s="21"/>
      <c r="E101" s="20" t="s">
        <v>31</v>
      </c>
      <c r="F101" s="20"/>
      <c r="G101" s="20"/>
      <c r="H101" s="20"/>
      <c r="I101" s="20" t="s">
        <v>40</v>
      </c>
      <c r="J101" s="20"/>
      <c r="K101" s="20"/>
      <c r="L101" s="20"/>
      <c r="M101" s="20"/>
      <c r="N101" s="20"/>
      <c r="O101" s="20" t="s">
        <v>34</v>
      </c>
      <c r="P101" s="20"/>
      <c r="Q101" s="20"/>
      <c r="R101" s="20"/>
      <c r="S101" s="20"/>
      <c r="T101" s="20"/>
      <c r="U101" s="20" t="s">
        <v>35</v>
      </c>
      <c r="V101" s="20"/>
      <c r="W101" s="20"/>
      <c r="X101" s="20"/>
      <c r="Y101" s="20"/>
      <c r="Z101" s="20"/>
      <c r="AA101" s="9" t="s">
        <v>36</v>
      </c>
      <c r="AC101" s="21" t="s">
        <v>45</v>
      </c>
      <c r="AD101" s="21"/>
    </row>
    <row r="102" spans="2:30" hidden="1" outlineLevel="1" x14ac:dyDescent="0.3">
      <c r="B102" s="27"/>
      <c r="C102" s="29"/>
      <c r="D102" s="21"/>
      <c r="E102" s="22">
        <f>E89</f>
        <v>0</v>
      </c>
      <c r="F102" s="22"/>
      <c r="G102" s="22"/>
      <c r="H102" s="22"/>
      <c r="I102" s="22">
        <f>I89</f>
        <v>0</v>
      </c>
      <c r="J102" s="22"/>
      <c r="K102" s="22"/>
      <c r="L102" s="22"/>
      <c r="M102" s="22"/>
      <c r="N102" s="22"/>
      <c r="O102" s="22">
        <f t="shared" ref="O102" si="24">O89</f>
        <v>0</v>
      </c>
      <c r="P102" s="22"/>
      <c r="Q102" s="22"/>
      <c r="R102" s="22"/>
      <c r="S102" s="22"/>
      <c r="T102" s="22"/>
      <c r="U102" s="22">
        <f>U89</f>
        <v>0</v>
      </c>
      <c r="V102" s="22"/>
      <c r="W102" s="22"/>
      <c r="X102" s="22"/>
      <c r="Y102" s="22"/>
      <c r="Z102" s="22"/>
      <c r="AA102" s="24">
        <f>AA89</f>
        <v>0</v>
      </c>
      <c r="AC102" s="21">
        <f>AC89</f>
        <v>21</v>
      </c>
      <c r="AD102" s="21"/>
    </row>
    <row r="103" spans="2:30" hidden="1" outlineLevel="1" x14ac:dyDescent="0.3">
      <c r="B103" s="27"/>
      <c r="C103" s="29"/>
      <c r="D103" s="2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4"/>
      <c r="AC103" s="21"/>
      <c r="AD103" s="21"/>
    </row>
    <row r="104" spans="2:30" ht="7.2" hidden="1" customHeight="1" outlineLevel="1" x14ac:dyDescent="0.3">
      <c r="B104" s="2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8"/>
    </row>
    <row r="105" spans="2:30" hidden="1" outlineLevel="1" x14ac:dyDescent="0.3">
      <c r="B105" s="27"/>
      <c r="C105" s="29" t="s">
        <v>38</v>
      </c>
      <c r="D105" s="21"/>
      <c r="E105" s="20" t="s">
        <v>39</v>
      </c>
      <c r="F105" s="20"/>
      <c r="G105" s="20"/>
      <c r="H105" s="20"/>
      <c r="I105" s="20" t="s">
        <v>41</v>
      </c>
      <c r="J105" s="20"/>
      <c r="K105" s="20"/>
      <c r="L105" s="20"/>
      <c r="M105" s="20"/>
      <c r="N105" s="20"/>
      <c r="O105" s="20" t="s">
        <v>42</v>
      </c>
      <c r="P105" s="20"/>
      <c r="Q105" s="20"/>
      <c r="R105" s="20"/>
      <c r="S105" s="20"/>
      <c r="T105" s="20"/>
      <c r="U105" s="20" t="s">
        <v>43</v>
      </c>
      <c r="V105" s="20"/>
      <c r="W105" s="20"/>
      <c r="X105" s="20"/>
      <c r="Y105" s="20"/>
      <c r="Z105" s="20"/>
      <c r="AA105" s="9" t="s">
        <v>36</v>
      </c>
      <c r="AC105" s="21" t="s">
        <v>46</v>
      </c>
      <c r="AD105" s="21"/>
    </row>
    <row r="106" spans="2:30" hidden="1" outlineLevel="1" x14ac:dyDescent="0.3">
      <c r="B106" s="27"/>
      <c r="C106" s="29"/>
      <c r="D106" s="21"/>
      <c r="E106" s="22">
        <f>E93</f>
        <v>0</v>
      </c>
      <c r="F106" s="22"/>
      <c r="G106" s="22"/>
      <c r="H106" s="22"/>
      <c r="I106" s="22">
        <f>I93</f>
        <v>0</v>
      </c>
      <c r="J106" s="22"/>
      <c r="K106" s="22"/>
      <c r="L106" s="22"/>
      <c r="M106" s="22"/>
      <c r="N106" s="22"/>
      <c r="O106" s="22">
        <f t="shared" ref="O106" si="25">O93</f>
        <v>0</v>
      </c>
      <c r="P106" s="22"/>
      <c r="Q106" s="22"/>
      <c r="R106" s="22"/>
      <c r="S106" s="22"/>
      <c r="T106" s="22"/>
      <c r="U106" s="22">
        <f t="shared" ref="U106" si="26">U93</f>
        <v>0</v>
      </c>
      <c r="V106" s="22"/>
      <c r="W106" s="22"/>
      <c r="X106" s="22"/>
      <c r="Y106" s="22"/>
      <c r="Z106" s="22"/>
      <c r="AA106" s="24">
        <f>AA93</f>
        <v>0</v>
      </c>
      <c r="AC106" s="26">
        <f>AC93</f>
        <v>20000</v>
      </c>
      <c r="AD106" s="26"/>
    </row>
    <row r="107" spans="2:30" ht="15" hidden="1" outlineLevel="1" thickBot="1" x14ac:dyDescent="0.35">
      <c r="B107" s="28"/>
      <c r="C107" s="30"/>
      <c r="D107" s="31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5"/>
      <c r="AC107" s="26"/>
      <c r="AD107" s="26"/>
    </row>
    <row r="108" spans="2:30" s="15" customFormat="1" collapsed="1" x14ac:dyDescent="0.3">
      <c r="B108" s="19"/>
      <c r="D108" s="16"/>
    </row>
    <row r="109" spans="2:30" ht="3.6" customHeight="1" thickBot="1" x14ac:dyDescent="0.35"/>
    <row r="110" spans="2:30" ht="16.8" customHeight="1" x14ac:dyDescent="0.3">
      <c r="B110" s="32" t="s">
        <v>0</v>
      </c>
      <c r="C110" s="34" t="s">
        <v>1</v>
      </c>
      <c r="D110" s="36" t="s">
        <v>27</v>
      </c>
      <c r="E110" s="38" t="s">
        <v>30</v>
      </c>
      <c r="F110" s="44" t="str">
        <f>$F$2</f>
        <v>Травень 2026р</v>
      </c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0" t="s">
        <v>33</v>
      </c>
      <c r="AC110" s="42" t="s">
        <v>47</v>
      </c>
      <c r="AD110" s="43"/>
    </row>
    <row r="111" spans="2:30" x14ac:dyDescent="0.3">
      <c r="B111" s="33"/>
      <c r="C111" s="35"/>
      <c r="D111" s="37"/>
      <c r="E111" s="39"/>
      <c r="F111" s="3" t="str">
        <f>$F$3</f>
        <v>ПТ</v>
      </c>
      <c r="G111" s="3" t="str">
        <f>$G$3</f>
        <v>ПН</v>
      </c>
      <c r="H111" s="3" t="str">
        <f>$H$3</f>
        <v>ВТ</v>
      </c>
      <c r="I111" s="3" t="str">
        <f>$I$3</f>
        <v>СР</v>
      </c>
      <c r="J111" s="3" t="str">
        <f>$J$3</f>
        <v>ЧТ</v>
      </c>
      <c r="K111" s="3" t="str">
        <f>$K$3</f>
        <v>ПТ</v>
      </c>
      <c r="L111" s="3" t="str">
        <f>$L$3</f>
        <v>ПН</v>
      </c>
      <c r="M111" s="3" t="str">
        <f>$M$3</f>
        <v>ВТ</v>
      </c>
      <c r="N111" s="3" t="str">
        <f>$N$3</f>
        <v>СР</v>
      </c>
      <c r="O111" s="3" t="str">
        <f>$O$3</f>
        <v>ЧТ</v>
      </c>
      <c r="P111" s="3" t="str">
        <f>$P$3</f>
        <v>ПТ</v>
      </c>
      <c r="Q111" s="3" t="str">
        <f>$Q$3</f>
        <v>ПН</v>
      </c>
      <c r="R111" s="3" t="str">
        <f>$R$3</f>
        <v>ВТ</v>
      </c>
      <c r="S111" s="3" t="str">
        <f>$S$3</f>
        <v>СР</v>
      </c>
      <c r="T111" s="3" t="str">
        <f>$T$3</f>
        <v>ЧТ</v>
      </c>
      <c r="U111" s="3" t="str">
        <f>$U$3</f>
        <v>ПТ</v>
      </c>
      <c r="V111" s="3" t="str">
        <f>$V$3</f>
        <v>ПН</v>
      </c>
      <c r="W111" s="3" t="str">
        <f>$W$3</f>
        <v>ВТ</v>
      </c>
      <c r="X111" s="3" t="str">
        <f>$X$3</f>
        <v>СР</v>
      </c>
      <c r="Y111" s="3" t="str">
        <f>$Y$3</f>
        <v>ЧТ</v>
      </c>
      <c r="Z111" s="3" t="str">
        <f>$Z$3</f>
        <v>ПТ</v>
      </c>
      <c r="AA111" s="41"/>
      <c r="AC111" s="11"/>
      <c r="AD111" s="12"/>
    </row>
    <row r="112" spans="2:30" x14ac:dyDescent="0.3">
      <c r="B112" s="33"/>
      <c r="C112" s="35"/>
      <c r="D112" s="37"/>
      <c r="E112" s="39"/>
      <c r="F112" s="3">
        <f>$F$4</f>
        <v>1</v>
      </c>
      <c r="G112" s="3">
        <f>$G$4</f>
        <v>4</v>
      </c>
      <c r="H112" s="3">
        <f>$H$4</f>
        <v>5</v>
      </c>
      <c r="I112" s="3">
        <f>$I$4</f>
        <v>6</v>
      </c>
      <c r="J112" s="3">
        <f>$J$4</f>
        <v>7</v>
      </c>
      <c r="K112" s="3">
        <f>$K$4</f>
        <v>8</v>
      </c>
      <c r="L112" s="3">
        <f>$L$4</f>
        <v>11</v>
      </c>
      <c r="M112" s="3">
        <f>$M$4</f>
        <v>12</v>
      </c>
      <c r="N112" s="3">
        <f>$N$4</f>
        <v>13</v>
      </c>
      <c r="O112" s="3">
        <f>$O$4</f>
        <v>14</v>
      </c>
      <c r="P112" s="3">
        <f>$P$4</f>
        <v>15</v>
      </c>
      <c r="Q112" s="3">
        <f>$Q$4</f>
        <v>18</v>
      </c>
      <c r="R112" s="3">
        <f>$R$4</f>
        <v>19</v>
      </c>
      <c r="S112" s="3">
        <f>$S$4</f>
        <v>20</v>
      </c>
      <c r="T112" s="3">
        <f>$T$4</f>
        <v>21</v>
      </c>
      <c r="U112" s="3">
        <f>$U$4</f>
        <v>22</v>
      </c>
      <c r="V112" s="3">
        <f>$V$4</f>
        <v>25</v>
      </c>
      <c r="W112" s="3">
        <f>$W$4</f>
        <v>26</v>
      </c>
      <c r="X112" s="3">
        <f>$X$4</f>
        <v>27</v>
      </c>
      <c r="Y112" s="3">
        <f>$Y$4</f>
        <v>28</v>
      </c>
      <c r="Z112" s="3">
        <f>$Z$4</f>
        <v>29</v>
      </c>
      <c r="AA112" s="41"/>
      <c r="AC112" s="11"/>
      <c r="AD112" s="12"/>
    </row>
    <row r="113" spans="2:30" x14ac:dyDescent="0.3">
      <c r="B113" s="27" t="s">
        <v>13</v>
      </c>
      <c r="C113" s="4" t="s">
        <v>9</v>
      </c>
      <c r="D113" s="17" t="s">
        <v>28</v>
      </c>
      <c r="E113" s="10">
        <f>AC120/AC116/8</f>
        <v>136.9047619047619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5">
        <f>SUM(F113:Z113)</f>
        <v>0</v>
      </c>
      <c r="AC113" s="13"/>
      <c r="AD113" s="14"/>
    </row>
    <row r="114" spans="2:30" ht="4.8" customHeight="1" x14ac:dyDescent="0.3">
      <c r="B114" s="2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8"/>
    </row>
    <row r="115" spans="2:30" x14ac:dyDescent="0.3">
      <c r="B115" s="27"/>
      <c r="C115" s="29" t="s">
        <v>37</v>
      </c>
      <c r="D115" s="21"/>
      <c r="E115" s="20" t="s">
        <v>31</v>
      </c>
      <c r="F115" s="20"/>
      <c r="G115" s="20"/>
      <c r="H115" s="20"/>
      <c r="I115" s="20" t="s">
        <v>40</v>
      </c>
      <c r="J115" s="20"/>
      <c r="K115" s="20"/>
      <c r="L115" s="20"/>
      <c r="M115" s="20"/>
      <c r="N115" s="20"/>
      <c r="O115" s="20" t="s">
        <v>34</v>
      </c>
      <c r="P115" s="20"/>
      <c r="Q115" s="20"/>
      <c r="R115" s="20"/>
      <c r="S115" s="20"/>
      <c r="T115" s="20"/>
      <c r="U115" s="20" t="s">
        <v>35</v>
      </c>
      <c r="V115" s="20"/>
      <c r="W115" s="20"/>
      <c r="X115" s="20"/>
      <c r="Y115" s="20"/>
      <c r="Z115" s="20"/>
      <c r="AA115" s="9" t="s">
        <v>36</v>
      </c>
      <c r="AC115" s="21" t="s">
        <v>45</v>
      </c>
      <c r="AD115" s="21"/>
    </row>
    <row r="116" spans="2:30" x14ac:dyDescent="0.3">
      <c r="B116" s="27"/>
      <c r="C116" s="29"/>
      <c r="D116" s="21"/>
      <c r="E116" s="22">
        <f>E113*AA113</f>
        <v>0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4">
        <f>E116+I116+O116-U116</f>
        <v>0</v>
      </c>
      <c r="AC116" s="21">
        <f>$AC$8</f>
        <v>21</v>
      </c>
      <c r="AD116" s="21"/>
    </row>
    <row r="117" spans="2:30" x14ac:dyDescent="0.3">
      <c r="B117" s="27"/>
      <c r="C117" s="29"/>
      <c r="D117" s="21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4"/>
      <c r="AC117" s="21"/>
      <c r="AD117" s="21"/>
    </row>
    <row r="118" spans="2:30" ht="4.8" customHeight="1" x14ac:dyDescent="0.3">
      <c r="B118" s="2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8"/>
    </row>
    <row r="119" spans="2:30" x14ac:dyDescent="0.3">
      <c r="B119" s="27"/>
      <c r="C119" s="29" t="s">
        <v>38</v>
      </c>
      <c r="D119" s="21"/>
      <c r="E119" s="20" t="s">
        <v>39</v>
      </c>
      <c r="F119" s="20"/>
      <c r="G119" s="20"/>
      <c r="H119" s="20"/>
      <c r="I119" s="20" t="s">
        <v>41</v>
      </c>
      <c r="J119" s="20"/>
      <c r="K119" s="20"/>
      <c r="L119" s="20"/>
      <c r="M119" s="20"/>
      <c r="N119" s="20"/>
      <c r="O119" s="20" t="s">
        <v>42</v>
      </c>
      <c r="P119" s="20"/>
      <c r="Q119" s="20"/>
      <c r="R119" s="20"/>
      <c r="S119" s="20"/>
      <c r="T119" s="20"/>
      <c r="U119" s="20" t="s">
        <v>43</v>
      </c>
      <c r="V119" s="20"/>
      <c r="W119" s="20"/>
      <c r="X119" s="20"/>
      <c r="Y119" s="20"/>
      <c r="Z119" s="20"/>
      <c r="AA119" s="9" t="s">
        <v>36</v>
      </c>
      <c r="AC119" s="21" t="s">
        <v>46</v>
      </c>
      <c r="AD119" s="21"/>
    </row>
    <row r="120" spans="2:30" x14ac:dyDescent="0.3">
      <c r="B120" s="27"/>
      <c r="C120" s="29"/>
      <c r="D120" s="21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4">
        <f>E120+I120+O120+U120</f>
        <v>0</v>
      </c>
      <c r="AC120" s="26">
        <v>23000</v>
      </c>
      <c r="AD120" s="26"/>
    </row>
    <row r="121" spans="2:30" ht="15" thickBot="1" x14ac:dyDescent="0.35">
      <c r="B121" s="28"/>
      <c r="C121" s="30"/>
      <c r="D121" s="31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5"/>
      <c r="AC121" s="26"/>
      <c r="AD121" s="26"/>
    </row>
    <row r="122" spans="2:30" ht="55.2" hidden="1" customHeight="1" outlineLevel="1" thickBot="1" x14ac:dyDescent="0.35"/>
    <row r="123" spans="2:30" ht="16.8" hidden="1" customHeight="1" outlineLevel="1" x14ac:dyDescent="0.3">
      <c r="B123" s="32" t="s">
        <v>0</v>
      </c>
      <c r="C123" s="34" t="s">
        <v>1</v>
      </c>
      <c r="D123" s="36" t="s">
        <v>27</v>
      </c>
      <c r="E123" s="38" t="s">
        <v>30</v>
      </c>
      <c r="F123" s="34" t="str">
        <f>F110</f>
        <v>Травень 2026р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40" t="s">
        <v>33</v>
      </c>
    </row>
    <row r="124" spans="2:30" hidden="1" outlineLevel="1" x14ac:dyDescent="0.3">
      <c r="B124" s="33"/>
      <c r="C124" s="35"/>
      <c r="D124" s="37"/>
      <c r="E124" s="39"/>
      <c r="F124" s="3" t="str">
        <f>F111</f>
        <v>ПТ</v>
      </c>
      <c r="G124" s="3" t="str">
        <f t="shared" ref="G124:Z124" si="27">G111</f>
        <v>ПН</v>
      </c>
      <c r="H124" s="3" t="str">
        <f t="shared" si="27"/>
        <v>ВТ</v>
      </c>
      <c r="I124" s="3" t="str">
        <f t="shared" si="27"/>
        <v>СР</v>
      </c>
      <c r="J124" s="3" t="str">
        <f t="shared" si="27"/>
        <v>ЧТ</v>
      </c>
      <c r="K124" s="3" t="str">
        <f t="shared" si="27"/>
        <v>ПТ</v>
      </c>
      <c r="L124" s="3" t="str">
        <f t="shared" si="27"/>
        <v>ПН</v>
      </c>
      <c r="M124" s="3" t="str">
        <f t="shared" si="27"/>
        <v>ВТ</v>
      </c>
      <c r="N124" s="3" t="str">
        <f t="shared" si="27"/>
        <v>СР</v>
      </c>
      <c r="O124" s="3" t="str">
        <f t="shared" si="27"/>
        <v>ЧТ</v>
      </c>
      <c r="P124" s="3" t="str">
        <f t="shared" si="27"/>
        <v>ПТ</v>
      </c>
      <c r="Q124" s="3" t="str">
        <f t="shared" si="27"/>
        <v>ПН</v>
      </c>
      <c r="R124" s="3" t="str">
        <f t="shared" si="27"/>
        <v>ВТ</v>
      </c>
      <c r="S124" s="3" t="str">
        <f t="shared" si="27"/>
        <v>СР</v>
      </c>
      <c r="T124" s="3" t="str">
        <f t="shared" si="27"/>
        <v>ЧТ</v>
      </c>
      <c r="U124" s="3" t="str">
        <f t="shared" si="27"/>
        <v>ПТ</v>
      </c>
      <c r="V124" s="3" t="str">
        <f t="shared" si="27"/>
        <v>ПН</v>
      </c>
      <c r="W124" s="3" t="str">
        <f t="shared" si="27"/>
        <v>ВТ</v>
      </c>
      <c r="X124" s="3" t="str">
        <f t="shared" si="27"/>
        <v>СР</v>
      </c>
      <c r="Y124" s="3" t="str">
        <f t="shared" si="27"/>
        <v>ЧТ</v>
      </c>
      <c r="Z124" s="3" t="str">
        <f t="shared" si="27"/>
        <v>ПТ</v>
      </c>
      <c r="AA124" s="41"/>
    </row>
    <row r="125" spans="2:30" hidden="1" outlineLevel="1" x14ac:dyDescent="0.3">
      <c r="B125" s="33"/>
      <c r="C125" s="35"/>
      <c r="D125" s="37"/>
      <c r="E125" s="39"/>
      <c r="F125" s="3">
        <f>F112</f>
        <v>1</v>
      </c>
      <c r="G125" s="3">
        <f t="shared" ref="G125:X125" si="28">G112</f>
        <v>4</v>
      </c>
      <c r="H125" s="3">
        <f t="shared" si="28"/>
        <v>5</v>
      </c>
      <c r="I125" s="3">
        <f t="shared" si="28"/>
        <v>6</v>
      </c>
      <c r="J125" s="3">
        <f t="shared" si="28"/>
        <v>7</v>
      </c>
      <c r="K125" s="3">
        <f t="shared" si="28"/>
        <v>8</v>
      </c>
      <c r="L125" s="3">
        <f t="shared" si="28"/>
        <v>11</v>
      </c>
      <c r="M125" s="3">
        <f t="shared" si="28"/>
        <v>12</v>
      </c>
      <c r="N125" s="3">
        <f t="shared" si="28"/>
        <v>13</v>
      </c>
      <c r="O125" s="3">
        <f t="shared" si="28"/>
        <v>14</v>
      </c>
      <c r="P125" s="3">
        <f t="shared" si="28"/>
        <v>15</v>
      </c>
      <c r="Q125" s="3">
        <f t="shared" si="28"/>
        <v>18</v>
      </c>
      <c r="R125" s="3">
        <f t="shared" si="28"/>
        <v>19</v>
      </c>
      <c r="S125" s="3">
        <f t="shared" si="28"/>
        <v>20</v>
      </c>
      <c r="T125" s="3">
        <f t="shared" si="28"/>
        <v>21</v>
      </c>
      <c r="U125" s="3">
        <f t="shared" si="28"/>
        <v>22</v>
      </c>
      <c r="V125" s="3">
        <f t="shared" si="28"/>
        <v>25</v>
      </c>
      <c r="W125" s="3">
        <f t="shared" si="28"/>
        <v>26</v>
      </c>
      <c r="X125" s="3">
        <f t="shared" si="28"/>
        <v>27</v>
      </c>
      <c r="Y125" s="3">
        <f>Y112</f>
        <v>28</v>
      </c>
      <c r="Z125" s="3">
        <f t="shared" ref="Z125" si="29">Z112</f>
        <v>29</v>
      </c>
      <c r="AA125" s="41"/>
    </row>
    <row r="126" spans="2:30" hidden="1" outlineLevel="1" x14ac:dyDescent="0.3">
      <c r="B126" s="27" t="str">
        <f>B113</f>
        <v>Бабіля Наталія</v>
      </c>
      <c r="C126" s="4" t="str">
        <f>C113</f>
        <v>оператор устаткування</v>
      </c>
      <c r="D126" s="3" t="str">
        <f>D113</f>
        <v>Так</v>
      </c>
      <c r="E126" s="10">
        <f>E113</f>
        <v>136.9047619047619</v>
      </c>
      <c r="F126" s="3">
        <f>F113</f>
        <v>0</v>
      </c>
      <c r="G126" s="3">
        <f t="shared" ref="G126:Z126" si="30">G113</f>
        <v>0</v>
      </c>
      <c r="H126" s="3">
        <f t="shared" si="30"/>
        <v>0</v>
      </c>
      <c r="I126" s="3">
        <f t="shared" si="30"/>
        <v>0</v>
      </c>
      <c r="J126" s="3">
        <f t="shared" si="30"/>
        <v>0</v>
      </c>
      <c r="K126" s="3">
        <f t="shared" si="30"/>
        <v>0</v>
      </c>
      <c r="L126" s="3">
        <f t="shared" si="30"/>
        <v>0</v>
      </c>
      <c r="M126" s="3">
        <f t="shared" si="30"/>
        <v>0</v>
      </c>
      <c r="N126" s="3">
        <f t="shared" si="30"/>
        <v>0</v>
      </c>
      <c r="O126" s="3">
        <f t="shared" si="30"/>
        <v>0</v>
      </c>
      <c r="P126" s="3">
        <f t="shared" si="30"/>
        <v>0</v>
      </c>
      <c r="Q126" s="3">
        <f t="shared" si="30"/>
        <v>0</v>
      </c>
      <c r="R126" s="3">
        <f t="shared" si="30"/>
        <v>0</v>
      </c>
      <c r="S126" s="3">
        <f t="shared" si="30"/>
        <v>0</v>
      </c>
      <c r="T126" s="3">
        <f t="shared" si="30"/>
        <v>0</v>
      </c>
      <c r="U126" s="3">
        <f t="shared" si="30"/>
        <v>0</v>
      </c>
      <c r="V126" s="3">
        <f t="shared" si="30"/>
        <v>0</v>
      </c>
      <c r="W126" s="3">
        <f t="shared" si="30"/>
        <v>0</v>
      </c>
      <c r="X126" s="3">
        <f t="shared" si="30"/>
        <v>0</v>
      </c>
      <c r="Y126" s="3">
        <f t="shared" si="30"/>
        <v>0</v>
      </c>
      <c r="Z126" s="3">
        <f t="shared" si="30"/>
        <v>0</v>
      </c>
      <c r="AA126" s="5">
        <f>AA113</f>
        <v>0</v>
      </c>
    </row>
    <row r="127" spans="2:30" ht="7.8" hidden="1" customHeight="1" outlineLevel="1" x14ac:dyDescent="0.3">
      <c r="B127" s="2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8"/>
    </row>
    <row r="128" spans="2:30" hidden="1" outlineLevel="1" x14ac:dyDescent="0.3">
      <c r="B128" s="27"/>
      <c r="C128" s="29" t="s">
        <v>37</v>
      </c>
      <c r="D128" s="21"/>
      <c r="E128" s="20" t="s">
        <v>31</v>
      </c>
      <c r="F128" s="20"/>
      <c r="G128" s="20"/>
      <c r="H128" s="20"/>
      <c r="I128" s="20" t="s">
        <v>40</v>
      </c>
      <c r="J128" s="20"/>
      <c r="K128" s="20"/>
      <c r="L128" s="20"/>
      <c r="M128" s="20"/>
      <c r="N128" s="20"/>
      <c r="O128" s="20" t="s">
        <v>34</v>
      </c>
      <c r="P128" s="20"/>
      <c r="Q128" s="20"/>
      <c r="R128" s="20"/>
      <c r="S128" s="20"/>
      <c r="T128" s="20"/>
      <c r="U128" s="20" t="s">
        <v>35</v>
      </c>
      <c r="V128" s="20"/>
      <c r="W128" s="20"/>
      <c r="X128" s="20"/>
      <c r="Y128" s="20"/>
      <c r="Z128" s="20"/>
      <c r="AA128" s="9" t="s">
        <v>36</v>
      </c>
      <c r="AC128" s="21" t="s">
        <v>45</v>
      </c>
      <c r="AD128" s="21"/>
    </row>
    <row r="129" spans="2:30" hidden="1" outlineLevel="1" x14ac:dyDescent="0.3">
      <c r="B129" s="27"/>
      <c r="C129" s="29"/>
      <c r="D129" s="21"/>
      <c r="E129" s="22">
        <f>E116</f>
        <v>0</v>
      </c>
      <c r="F129" s="22"/>
      <c r="G129" s="22"/>
      <c r="H129" s="22"/>
      <c r="I129" s="22">
        <f>I116</f>
        <v>0</v>
      </c>
      <c r="J129" s="22"/>
      <c r="K129" s="22"/>
      <c r="L129" s="22"/>
      <c r="M129" s="22"/>
      <c r="N129" s="22"/>
      <c r="O129" s="22">
        <f t="shared" ref="O129" si="31">O116</f>
        <v>0</v>
      </c>
      <c r="P129" s="22"/>
      <c r="Q129" s="22"/>
      <c r="R129" s="22"/>
      <c r="S129" s="22"/>
      <c r="T129" s="22"/>
      <c r="U129" s="22">
        <f>U116</f>
        <v>0</v>
      </c>
      <c r="V129" s="22"/>
      <c r="W129" s="22"/>
      <c r="X129" s="22"/>
      <c r="Y129" s="22"/>
      <c r="Z129" s="22"/>
      <c r="AA129" s="24">
        <f>AA116</f>
        <v>0</v>
      </c>
      <c r="AC129" s="21">
        <f>AC116</f>
        <v>21</v>
      </c>
      <c r="AD129" s="21"/>
    </row>
    <row r="130" spans="2:30" hidden="1" outlineLevel="1" x14ac:dyDescent="0.3">
      <c r="B130" s="27"/>
      <c r="C130" s="29"/>
      <c r="D130" s="21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4"/>
      <c r="AC130" s="21"/>
      <c r="AD130" s="21"/>
    </row>
    <row r="131" spans="2:30" ht="7.2" hidden="1" customHeight="1" outlineLevel="1" x14ac:dyDescent="0.3">
      <c r="B131" s="2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8"/>
    </row>
    <row r="132" spans="2:30" hidden="1" outlineLevel="1" x14ac:dyDescent="0.3">
      <c r="B132" s="27"/>
      <c r="C132" s="29" t="s">
        <v>38</v>
      </c>
      <c r="D132" s="21"/>
      <c r="E132" s="20" t="s">
        <v>39</v>
      </c>
      <c r="F132" s="20"/>
      <c r="G132" s="20"/>
      <c r="H132" s="20"/>
      <c r="I132" s="20" t="s">
        <v>41</v>
      </c>
      <c r="J132" s="20"/>
      <c r="K132" s="20"/>
      <c r="L132" s="20"/>
      <c r="M132" s="20"/>
      <c r="N132" s="20"/>
      <c r="O132" s="20" t="s">
        <v>42</v>
      </c>
      <c r="P132" s="20"/>
      <c r="Q132" s="20"/>
      <c r="R132" s="20"/>
      <c r="S132" s="20"/>
      <c r="T132" s="20"/>
      <c r="U132" s="20" t="s">
        <v>43</v>
      </c>
      <c r="V132" s="20"/>
      <c r="W132" s="20"/>
      <c r="X132" s="20"/>
      <c r="Y132" s="20"/>
      <c r="Z132" s="20"/>
      <c r="AA132" s="9" t="s">
        <v>36</v>
      </c>
      <c r="AC132" s="21" t="s">
        <v>46</v>
      </c>
      <c r="AD132" s="21"/>
    </row>
    <row r="133" spans="2:30" hidden="1" outlineLevel="1" x14ac:dyDescent="0.3">
      <c r="B133" s="27"/>
      <c r="C133" s="29"/>
      <c r="D133" s="21"/>
      <c r="E133" s="22">
        <f>E120</f>
        <v>0</v>
      </c>
      <c r="F133" s="22"/>
      <c r="G133" s="22"/>
      <c r="H133" s="22"/>
      <c r="I133" s="22">
        <f>I120</f>
        <v>0</v>
      </c>
      <c r="J133" s="22"/>
      <c r="K133" s="22"/>
      <c r="L133" s="22"/>
      <c r="M133" s="22"/>
      <c r="N133" s="22"/>
      <c r="O133" s="22">
        <f t="shared" ref="O133" si="32">O120</f>
        <v>0</v>
      </c>
      <c r="P133" s="22"/>
      <c r="Q133" s="22"/>
      <c r="R133" s="22"/>
      <c r="S133" s="22"/>
      <c r="T133" s="22"/>
      <c r="U133" s="22">
        <f t="shared" ref="U133" si="33">U120</f>
        <v>0</v>
      </c>
      <c r="V133" s="22"/>
      <c r="W133" s="22"/>
      <c r="X133" s="22"/>
      <c r="Y133" s="22"/>
      <c r="Z133" s="22"/>
      <c r="AA133" s="24">
        <f>AA120</f>
        <v>0</v>
      </c>
      <c r="AC133" s="26">
        <f>AC120</f>
        <v>23000</v>
      </c>
      <c r="AD133" s="26"/>
    </row>
    <row r="134" spans="2:30" ht="15" hidden="1" outlineLevel="1" thickBot="1" x14ac:dyDescent="0.35">
      <c r="B134" s="28"/>
      <c r="C134" s="30"/>
      <c r="D134" s="31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5"/>
      <c r="AC134" s="26"/>
      <c r="AD134" s="26"/>
    </row>
    <row r="135" spans="2:30" s="15" customFormat="1" collapsed="1" x14ac:dyDescent="0.3">
      <c r="B135" s="19"/>
      <c r="D135" s="16"/>
    </row>
    <row r="136" spans="2:30" ht="3.6" customHeight="1" thickBot="1" x14ac:dyDescent="0.35"/>
    <row r="137" spans="2:30" ht="16.8" customHeight="1" x14ac:dyDescent="0.3">
      <c r="B137" s="32" t="s">
        <v>0</v>
      </c>
      <c r="C137" s="34" t="s">
        <v>1</v>
      </c>
      <c r="D137" s="36" t="s">
        <v>27</v>
      </c>
      <c r="E137" s="38" t="s">
        <v>30</v>
      </c>
      <c r="F137" s="44" t="str">
        <f>$F$2</f>
        <v>Травень 2026р</v>
      </c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0" t="s">
        <v>33</v>
      </c>
      <c r="AC137" s="42" t="s">
        <v>47</v>
      </c>
      <c r="AD137" s="43"/>
    </row>
    <row r="138" spans="2:30" x14ac:dyDescent="0.3">
      <c r="B138" s="33"/>
      <c r="C138" s="35"/>
      <c r="D138" s="37"/>
      <c r="E138" s="39"/>
      <c r="F138" s="3" t="str">
        <f>$F$3</f>
        <v>ПТ</v>
      </c>
      <c r="G138" s="3" t="str">
        <f>$G$3</f>
        <v>ПН</v>
      </c>
      <c r="H138" s="3" t="str">
        <f>$H$3</f>
        <v>ВТ</v>
      </c>
      <c r="I138" s="3" t="str">
        <f>$I$3</f>
        <v>СР</v>
      </c>
      <c r="J138" s="3" t="str">
        <f>$J$3</f>
        <v>ЧТ</v>
      </c>
      <c r="K138" s="3" t="str">
        <f>$K$3</f>
        <v>ПТ</v>
      </c>
      <c r="L138" s="3" t="str">
        <f>$L$3</f>
        <v>ПН</v>
      </c>
      <c r="M138" s="3" t="str">
        <f>$M$3</f>
        <v>ВТ</v>
      </c>
      <c r="N138" s="3" t="str">
        <f>$N$3</f>
        <v>СР</v>
      </c>
      <c r="O138" s="3" t="str">
        <f>$O$3</f>
        <v>ЧТ</v>
      </c>
      <c r="P138" s="3" t="str">
        <f>$P$3</f>
        <v>ПТ</v>
      </c>
      <c r="Q138" s="3" t="str">
        <f>$Q$3</f>
        <v>ПН</v>
      </c>
      <c r="R138" s="3" t="str">
        <f>$R$3</f>
        <v>ВТ</v>
      </c>
      <c r="S138" s="3" t="str">
        <f>$S$3</f>
        <v>СР</v>
      </c>
      <c r="T138" s="3" t="str">
        <f>$T$3</f>
        <v>ЧТ</v>
      </c>
      <c r="U138" s="3" t="str">
        <f>$U$3</f>
        <v>ПТ</v>
      </c>
      <c r="V138" s="3" t="str">
        <f>$V$3</f>
        <v>ПН</v>
      </c>
      <c r="W138" s="3" t="str">
        <f>$W$3</f>
        <v>ВТ</v>
      </c>
      <c r="X138" s="3" t="str">
        <f>$X$3</f>
        <v>СР</v>
      </c>
      <c r="Y138" s="3" t="str">
        <f>$Y$3</f>
        <v>ЧТ</v>
      </c>
      <c r="Z138" s="3" t="str">
        <f>$Z$3</f>
        <v>ПТ</v>
      </c>
      <c r="AA138" s="41"/>
      <c r="AC138" s="11"/>
      <c r="AD138" s="12"/>
    </row>
    <row r="139" spans="2:30" x14ac:dyDescent="0.3">
      <c r="B139" s="33"/>
      <c r="C139" s="35"/>
      <c r="D139" s="37"/>
      <c r="E139" s="39"/>
      <c r="F139" s="3">
        <f>$F$4</f>
        <v>1</v>
      </c>
      <c r="G139" s="3">
        <f>$G$4</f>
        <v>4</v>
      </c>
      <c r="H139" s="3">
        <f>$H$4</f>
        <v>5</v>
      </c>
      <c r="I139" s="3">
        <f>$I$4</f>
        <v>6</v>
      </c>
      <c r="J139" s="3">
        <f>$J$4</f>
        <v>7</v>
      </c>
      <c r="K139" s="3">
        <f>$K$4</f>
        <v>8</v>
      </c>
      <c r="L139" s="3">
        <f>$L$4</f>
        <v>11</v>
      </c>
      <c r="M139" s="3">
        <f>$M$4</f>
        <v>12</v>
      </c>
      <c r="N139" s="3">
        <f>$N$4</f>
        <v>13</v>
      </c>
      <c r="O139" s="3">
        <f>$O$4</f>
        <v>14</v>
      </c>
      <c r="P139" s="3">
        <f>$P$4</f>
        <v>15</v>
      </c>
      <c r="Q139" s="3">
        <f>$Q$4</f>
        <v>18</v>
      </c>
      <c r="R139" s="3">
        <f>$R$4</f>
        <v>19</v>
      </c>
      <c r="S139" s="3">
        <f>$S$4</f>
        <v>20</v>
      </c>
      <c r="T139" s="3">
        <f>$T$4</f>
        <v>21</v>
      </c>
      <c r="U139" s="3">
        <f>$U$4</f>
        <v>22</v>
      </c>
      <c r="V139" s="3">
        <f>$V$4</f>
        <v>25</v>
      </c>
      <c r="W139" s="3">
        <f>$W$4</f>
        <v>26</v>
      </c>
      <c r="X139" s="3">
        <f>$X$4</f>
        <v>27</v>
      </c>
      <c r="Y139" s="3">
        <f>$Y$4</f>
        <v>28</v>
      </c>
      <c r="Z139" s="3">
        <f>$Z$4</f>
        <v>29</v>
      </c>
      <c r="AA139" s="41"/>
      <c r="AC139" s="11"/>
      <c r="AD139" s="12"/>
    </row>
    <row r="140" spans="2:30" x14ac:dyDescent="0.3">
      <c r="B140" s="27" t="s">
        <v>14</v>
      </c>
      <c r="C140" s="4" t="s">
        <v>11</v>
      </c>
      <c r="D140" s="17" t="s">
        <v>28</v>
      </c>
      <c r="E140" s="10">
        <f>AC147/AC143/8</f>
        <v>119.04761904761905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5">
        <f>SUM(F140:Z140)</f>
        <v>0</v>
      </c>
      <c r="AC140" s="13"/>
      <c r="AD140" s="14"/>
    </row>
    <row r="141" spans="2:30" ht="4.8" customHeight="1" x14ac:dyDescent="0.3">
      <c r="B141" s="2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8"/>
    </row>
    <row r="142" spans="2:30" x14ac:dyDescent="0.3">
      <c r="B142" s="27"/>
      <c r="C142" s="29" t="s">
        <v>37</v>
      </c>
      <c r="D142" s="21"/>
      <c r="E142" s="20" t="s">
        <v>31</v>
      </c>
      <c r="F142" s="20"/>
      <c r="G142" s="20"/>
      <c r="H142" s="20"/>
      <c r="I142" s="20" t="s">
        <v>40</v>
      </c>
      <c r="J142" s="20"/>
      <c r="K142" s="20"/>
      <c r="L142" s="20"/>
      <c r="M142" s="20"/>
      <c r="N142" s="20"/>
      <c r="O142" s="20" t="s">
        <v>34</v>
      </c>
      <c r="P142" s="20"/>
      <c r="Q142" s="20"/>
      <c r="R142" s="20"/>
      <c r="S142" s="20"/>
      <c r="T142" s="20"/>
      <c r="U142" s="20" t="s">
        <v>35</v>
      </c>
      <c r="V142" s="20"/>
      <c r="W142" s="20"/>
      <c r="X142" s="20"/>
      <c r="Y142" s="20"/>
      <c r="Z142" s="20"/>
      <c r="AA142" s="9" t="s">
        <v>36</v>
      </c>
      <c r="AC142" s="21" t="s">
        <v>45</v>
      </c>
      <c r="AD142" s="21"/>
    </row>
    <row r="143" spans="2:30" x14ac:dyDescent="0.3">
      <c r="B143" s="27"/>
      <c r="C143" s="29"/>
      <c r="D143" s="21"/>
      <c r="E143" s="22">
        <f>E140*AA140</f>
        <v>0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4">
        <f>E143+I143+O143-U143</f>
        <v>0</v>
      </c>
      <c r="AC143" s="21">
        <f>$AC$8</f>
        <v>21</v>
      </c>
      <c r="AD143" s="21"/>
    </row>
    <row r="144" spans="2:30" x14ac:dyDescent="0.3">
      <c r="B144" s="27"/>
      <c r="C144" s="29"/>
      <c r="D144" s="21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4"/>
      <c r="AC144" s="21"/>
      <c r="AD144" s="21"/>
    </row>
    <row r="145" spans="2:30" ht="4.8" customHeight="1" x14ac:dyDescent="0.3">
      <c r="B145" s="2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8"/>
    </row>
    <row r="146" spans="2:30" x14ac:dyDescent="0.3">
      <c r="B146" s="27"/>
      <c r="C146" s="29" t="s">
        <v>38</v>
      </c>
      <c r="D146" s="21"/>
      <c r="E146" s="20" t="s">
        <v>39</v>
      </c>
      <c r="F146" s="20"/>
      <c r="G146" s="20"/>
      <c r="H146" s="20"/>
      <c r="I146" s="20" t="s">
        <v>41</v>
      </c>
      <c r="J146" s="20"/>
      <c r="K146" s="20"/>
      <c r="L146" s="20"/>
      <c r="M146" s="20"/>
      <c r="N146" s="20"/>
      <c r="O146" s="20" t="s">
        <v>42</v>
      </c>
      <c r="P146" s="20"/>
      <c r="Q146" s="20"/>
      <c r="R146" s="20"/>
      <c r="S146" s="20"/>
      <c r="T146" s="20"/>
      <c r="U146" s="20" t="s">
        <v>43</v>
      </c>
      <c r="V146" s="20"/>
      <c r="W146" s="20"/>
      <c r="X146" s="20"/>
      <c r="Y146" s="20"/>
      <c r="Z146" s="20"/>
      <c r="AA146" s="9" t="s">
        <v>36</v>
      </c>
      <c r="AC146" s="21" t="s">
        <v>46</v>
      </c>
      <c r="AD146" s="21"/>
    </row>
    <row r="147" spans="2:30" x14ac:dyDescent="0.3">
      <c r="B147" s="27"/>
      <c r="C147" s="29"/>
      <c r="D147" s="21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4">
        <f>E147+I147+O147+U147</f>
        <v>0</v>
      </c>
      <c r="AC147" s="26">
        <v>20000</v>
      </c>
      <c r="AD147" s="26"/>
    </row>
    <row r="148" spans="2:30" ht="15" thickBot="1" x14ac:dyDescent="0.35">
      <c r="B148" s="28"/>
      <c r="C148" s="30"/>
      <c r="D148" s="31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5"/>
      <c r="AC148" s="26"/>
      <c r="AD148" s="26"/>
    </row>
    <row r="149" spans="2:30" ht="55.2" hidden="1" customHeight="1" outlineLevel="1" thickBot="1" x14ac:dyDescent="0.35"/>
    <row r="150" spans="2:30" ht="16.8" hidden="1" customHeight="1" outlineLevel="1" x14ac:dyDescent="0.3">
      <c r="B150" s="32" t="s">
        <v>0</v>
      </c>
      <c r="C150" s="34" t="s">
        <v>1</v>
      </c>
      <c r="D150" s="36" t="s">
        <v>27</v>
      </c>
      <c r="E150" s="38" t="s">
        <v>30</v>
      </c>
      <c r="F150" s="34" t="str">
        <f>F137</f>
        <v>Травень 2026р</v>
      </c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40" t="s">
        <v>33</v>
      </c>
    </row>
    <row r="151" spans="2:30" hidden="1" outlineLevel="1" x14ac:dyDescent="0.3">
      <c r="B151" s="33"/>
      <c r="C151" s="35"/>
      <c r="D151" s="37"/>
      <c r="E151" s="39"/>
      <c r="F151" s="3" t="str">
        <f>F138</f>
        <v>ПТ</v>
      </c>
      <c r="G151" s="3" t="str">
        <f t="shared" ref="G151:Z151" si="34">G138</f>
        <v>ПН</v>
      </c>
      <c r="H151" s="3" t="str">
        <f t="shared" si="34"/>
        <v>ВТ</v>
      </c>
      <c r="I151" s="3" t="str">
        <f t="shared" si="34"/>
        <v>СР</v>
      </c>
      <c r="J151" s="3" t="str">
        <f t="shared" si="34"/>
        <v>ЧТ</v>
      </c>
      <c r="K151" s="3" t="str">
        <f t="shared" si="34"/>
        <v>ПТ</v>
      </c>
      <c r="L151" s="3" t="str">
        <f t="shared" si="34"/>
        <v>ПН</v>
      </c>
      <c r="M151" s="3" t="str">
        <f t="shared" si="34"/>
        <v>ВТ</v>
      </c>
      <c r="N151" s="3" t="str">
        <f t="shared" si="34"/>
        <v>СР</v>
      </c>
      <c r="O151" s="3" t="str">
        <f t="shared" si="34"/>
        <v>ЧТ</v>
      </c>
      <c r="P151" s="3" t="str">
        <f t="shared" si="34"/>
        <v>ПТ</v>
      </c>
      <c r="Q151" s="3" t="str">
        <f t="shared" si="34"/>
        <v>ПН</v>
      </c>
      <c r="R151" s="3" t="str">
        <f t="shared" si="34"/>
        <v>ВТ</v>
      </c>
      <c r="S151" s="3" t="str">
        <f t="shared" si="34"/>
        <v>СР</v>
      </c>
      <c r="T151" s="3" t="str">
        <f t="shared" si="34"/>
        <v>ЧТ</v>
      </c>
      <c r="U151" s="3" t="str">
        <f t="shared" si="34"/>
        <v>ПТ</v>
      </c>
      <c r="V151" s="3" t="str">
        <f t="shared" si="34"/>
        <v>ПН</v>
      </c>
      <c r="W151" s="3" t="str">
        <f t="shared" si="34"/>
        <v>ВТ</v>
      </c>
      <c r="X151" s="3" t="str">
        <f t="shared" si="34"/>
        <v>СР</v>
      </c>
      <c r="Y151" s="3" t="str">
        <f t="shared" si="34"/>
        <v>ЧТ</v>
      </c>
      <c r="Z151" s="3" t="str">
        <f t="shared" si="34"/>
        <v>ПТ</v>
      </c>
      <c r="AA151" s="41"/>
    </row>
    <row r="152" spans="2:30" hidden="1" outlineLevel="1" x14ac:dyDescent="0.3">
      <c r="B152" s="33"/>
      <c r="C152" s="35"/>
      <c r="D152" s="37"/>
      <c r="E152" s="39"/>
      <c r="F152" s="3">
        <f>F139</f>
        <v>1</v>
      </c>
      <c r="G152" s="3">
        <f t="shared" ref="G152:X152" si="35">G139</f>
        <v>4</v>
      </c>
      <c r="H152" s="3">
        <f t="shared" si="35"/>
        <v>5</v>
      </c>
      <c r="I152" s="3">
        <f t="shared" si="35"/>
        <v>6</v>
      </c>
      <c r="J152" s="3">
        <f t="shared" si="35"/>
        <v>7</v>
      </c>
      <c r="K152" s="3">
        <f t="shared" si="35"/>
        <v>8</v>
      </c>
      <c r="L152" s="3">
        <f t="shared" si="35"/>
        <v>11</v>
      </c>
      <c r="M152" s="3">
        <f t="shared" si="35"/>
        <v>12</v>
      </c>
      <c r="N152" s="3">
        <f t="shared" si="35"/>
        <v>13</v>
      </c>
      <c r="O152" s="3">
        <f t="shared" si="35"/>
        <v>14</v>
      </c>
      <c r="P152" s="3">
        <f t="shared" si="35"/>
        <v>15</v>
      </c>
      <c r="Q152" s="3">
        <f t="shared" si="35"/>
        <v>18</v>
      </c>
      <c r="R152" s="3">
        <f t="shared" si="35"/>
        <v>19</v>
      </c>
      <c r="S152" s="3">
        <f t="shared" si="35"/>
        <v>20</v>
      </c>
      <c r="T152" s="3">
        <f t="shared" si="35"/>
        <v>21</v>
      </c>
      <c r="U152" s="3">
        <f t="shared" si="35"/>
        <v>22</v>
      </c>
      <c r="V152" s="3">
        <f t="shared" si="35"/>
        <v>25</v>
      </c>
      <c r="W152" s="3">
        <f t="shared" si="35"/>
        <v>26</v>
      </c>
      <c r="X152" s="3">
        <f t="shared" si="35"/>
        <v>27</v>
      </c>
      <c r="Y152" s="3">
        <f>Y139</f>
        <v>28</v>
      </c>
      <c r="Z152" s="3">
        <f t="shared" ref="Z152" si="36">Z139</f>
        <v>29</v>
      </c>
      <c r="AA152" s="41"/>
    </row>
    <row r="153" spans="2:30" hidden="1" outlineLevel="1" x14ac:dyDescent="0.3">
      <c r="B153" s="27" t="str">
        <f>B140</f>
        <v>Рушницька Анна</v>
      </c>
      <c r="C153" s="4" t="str">
        <f>C140</f>
        <v>комірник</v>
      </c>
      <c r="D153" s="3" t="str">
        <f>D140</f>
        <v>Так</v>
      </c>
      <c r="E153" s="10">
        <f>E140</f>
        <v>119.04761904761905</v>
      </c>
      <c r="F153" s="3">
        <f>F140</f>
        <v>0</v>
      </c>
      <c r="G153" s="3">
        <f t="shared" ref="G153:Z153" si="37">G140</f>
        <v>0</v>
      </c>
      <c r="H153" s="3">
        <f t="shared" si="37"/>
        <v>0</v>
      </c>
      <c r="I153" s="3">
        <f t="shared" si="37"/>
        <v>0</v>
      </c>
      <c r="J153" s="3">
        <f t="shared" si="37"/>
        <v>0</v>
      </c>
      <c r="K153" s="3">
        <f t="shared" si="37"/>
        <v>0</v>
      </c>
      <c r="L153" s="3">
        <f t="shared" si="37"/>
        <v>0</v>
      </c>
      <c r="M153" s="3">
        <f t="shared" si="37"/>
        <v>0</v>
      </c>
      <c r="N153" s="3">
        <f t="shared" si="37"/>
        <v>0</v>
      </c>
      <c r="O153" s="3">
        <f t="shared" si="37"/>
        <v>0</v>
      </c>
      <c r="P153" s="3">
        <f t="shared" si="37"/>
        <v>0</v>
      </c>
      <c r="Q153" s="3">
        <f t="shared" si="37"/>
        <v>0</v>
      </c>
      <c r="R153" s="3">
        <f t="shared" si="37"/>
        <v>0</v>
      </c>
      <c r="S153" s="3">
        <f t="shared" si="37"/>
        <v>0</v>
      </c>
      <c r="T153" s="3">
        <f t="shared" si="37"/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3">
        <f t="shared" si="37"/>
        <v>0</v>
      </c>
      <c r="Y153" s="3">
        <f t="shared" si="37"/>
        <v>0</v>
      </c>
      <c r="Z153" s="3">
        <f t="shared" si="37"/>
        <v>0</v>
      </c>
      <c r="AA153" s="5">
        <f>AA140</f>
        <v>0</v>
      </c>
    </row>
    <row r="154" spans="2:30" ht="7.8" hidden="1" customHeight="1" outlineLevel="1" x14ac:dyDescent="0.3">
      <c r="B154" s="2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8"/>
    </row>
    <row r="155" spans="2:30" hidden="1" outlineLevel="1" x14ac:dyDescent="0.3">
      <c r="B155" s="27"/>
      <c r="C155" s="29" t="s">
        <v>37</v>
      </c>
      <c r="D155" s="21"/>
      <c r="E155" s="20" t="s">
        <v>31</v>
      </c>
      <c r="F155" s="20"/>
      <c r="G155" s="20"/>
      <c r="H155" s="20"/>
      <c r="I155" s="20" t="s">
        <v>40</v>
      </c>
      <c r="J155" s="20"/>
      <c r="K155" s="20"/>
      <c r="L155" s="20"/>
      <c r="M155" s="20"/>
      <c r="N155" s="20"/>
      <c r="O155" s="20" t="s">
        <v>34</v>
      </c>
      <c r="P155" s="20"/>
      <c r="Q155" s="20"/>
      <c r="R155" s="20"/>
      <c r="S155" s="20"/>
      <c r="T155" s="20"/>
      <c r="U155" s="20" t="s">
        <v>35</v>
      </c>
      <c r="V155" s="20"/>
      <c r="W155" s="20"/>
      <c r="X155" s="20"/>
      <c r="Y155" s="20"/>
      <c r="Z155" s="20"/>
      <c r="AA155" s="9" t="s">
        <v>36</v>
      </c>
      <c r="AC155" s="21" t="s">
        <v>45</v>
      </c>
      <c r="AD155" s="21"/>
    </row>
    <row r="156" spans="2:30" hidden="1" outlineLevel="1" x14ac:dyDescent="0.3">
      <c r="B156" s="27"/>
      <c r="C156" s="29"/>
      <c r="D156" s="21"/>
      <c r="E156" s="22">
        <f>E143</f>
        <v>0</v>
      </c>
      <c r="F156" s="22"/>
      <c r="G156" s="22"/>
      <c r="H156" s="22"/>
      <c r="I156" s="22">
        <f>I143</f>
        <v>0</v>
      </c>
      <c r="J156" s="22"/>
      <c r="K156" s="22"/>
      <c r="L156" s="22"/>
      <c r="M156" s="22"/>
      <c r="N156" s="22"/>
      <c r="O156" s="22">
        <f t="shared" ref="O156" si="38">O143</f>
        <v>0</v>
      </c>
      <c r="P156" s="22"/>
      <c r="Q156" s="22"/>
      <c r="R156" s="22"/>
      <c r="S156" s="22"/>
      <c r="T156" s="22"/>
      <c r="U156" s="22">
        <f>U143</f>
        <v>0</v>
      </c>
      <c r="V156" s="22"/>
      <c r="W156" s="22"/>
      <c r="X156" s="22"/>
      <c r="Y156" s="22"/>
      <c r="Z156" s="22"/>
      <c r="AA156" s="24">
        <f>AA143</f>
        <v>0</v>
      </c>
      <c r="AC156" s="21">
        <f>AC143</f>
        <v>21</v>
      </c>
      <c r="AD156" s="21"/>
    </row>
    <row r="157" spans="2:30" hidden="1" outlineLevel="1" x14ac:dyDescent="0.3">
      <c r="B157" s="27"/>
      <c r="C157" s="29"/>
      <c r="D157" s="21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4"/>
      <c r="AC157" s="21"/>
      <c r="AD157" s="21"/>
    </row>
    <row r="158" spans="2:30" ht="7.2" hidden="1" customHeight="1" outlineLevel="1" x14ac:dyDescent="0.3">
      <c r="B158" s="2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8"/>
    </row>
    <row r="159" spans="2:30" hidden="1" outlineLevel="1" x14ac:dyDescent="0.3">
      <c r="B159" s="27"/>
      <c r="C159" s="29" t="s">
        <v>38</v>
      </c>
      <c r="D159" s="21"/>
      <c r="E159" s="20" t="s">
        <v>39</v>
      </c>
      <c r="F159" s="20"/>
      <c r="G159" s="20"/>
      <c r="H159" s="20"/>
      <c r="I159" s="20" t="s">
        <v>41</v>
      </c>
      <c r="J159" s="20"/>
      <c r="K159" s="20"/>
      <c r="L159" s="20"/>
      <c r="M159" s="20"/>
      <c r="N159" s="20"/>
      <c r="O159" s="20" t="s">
        <v>42</v>
      </c>
      <c r="P159" s="20"/>
      <c r="Q159" s="20"/>
      <c r="R159" s="20"/>
      <c r="S159" s="20"/>
      <c r="T159" s="20"/>
      <c r="U159" s="20" t="s">
        <v>43</v>
      </c>
      <c r="V159" s="20"/>
      <c r="W159" s="20"/>
      <c r="X159" s="20"/>
      <c r="Y159" s="20"/>
      <c r="Z159" s="20"/>
      <c r="AA159" s="9" t="s">
        <v>36</v>
      </c>
      <c r="AC159" s="21" t="s">
        <v>46</v>
      </c>
      <c r="AD159" s="21"/>
    </row>
    <row r="160" spans="2:30" hidden="1" outlineLevel="1" x14ac:dyDescent="0.3">
      <c r="B160" s="27"/>
      <c r="C160" s="29"/>
      <c r="D160" s="21"/>
      <c r="E160" s="22">
        <f>E147</f>
        <v>0</v>
      </c>
      <c r="F160" s="22"/>
      <c r="G160" s="22"/>
      <c r="H160" s="22"/>
      <c r="I160" s="22">
        <f>I147</f>
        <v>0</v>
      </c>
      <c r="J160" s="22"/>
      <c r="K160" s="22"/>
      <c r="L160" s="22"/>
      <c r="M160" s="22"/>
      <c r="N160" s="22"/>
      <c r="O160" s="22">
        <f t="shared" ref="O160" si="39">O147</f>
        <v>0</v>
      </c>
      <c r="P160" s="22"/>
      <c r="Q160" s="22"/>
      <c r="R160" s="22"/>
      <c r="S160" s="22"/>
      <c r="T160" s="22"/>
      <c r="U160" s="22">
        <f t="shared" ref="U160" si="40">U147</f>
        <v>0</v>
      </c>
      <c r="V160" s="22"/>
      <c r="W160" s="22"/>
      <c r="X160" s="22"/>
      <c r="Y160" s="22"/>
      <c r="Z160" s="22"/>
      <c r="AA160" s="24">
        <f>AA147</f>
        <v>0</v>
      </c>
      <c r="AC160" s="26">
        <f>AC147</f>
        <v>20000</v>
      </c>
      <c r="AD160" s="26"/>
    </row>
    <row r="161" spans="2:30" ht="15" hidden="1" outlineLevel="1" thickBot="1" x14ac:dyDescent="0.35">
      <c r="B161" s="28"/>
      <c r="C161" s="30"/>
      <c r="D161" s="31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5"/>
      <c r="AC161" s="26"/>
      <c r="AD161" s="26"/>
    </row>
    <row r="162" spans="2:30" s="15" customFormat="1" collapsed="1" x14ac:dyDescent="0.3">
      <c r="B162" s="19"/>
      <c r="D162" s="16"/>
    </row>
    <row r="163" spans="2:30" ht="3.6" customHeight="1" thickBot="1" x14ac:dyDescent="0.35"/>
    <row r="164" spans="2:30" ht="16.8" customHeight="1" x14ac:dyDescent="0.3">
      <c r="B164" s="32" t="s">
        <v>0</v>
      </c>
      <c r="C164" s="34" t="s">
        <v>1</v>
      </c>
      <c r="D164" s="36" t="s">
        <v>27</v>
      </c>
      <c r="E164" s="38" t="s">
        <v>30</v>
      </c>
      <c r="F164" s="44" t="str">
        <f>$F$2</f>
        <v>Травень 2026р</v>
      </c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0" t="s">
        <v>33</v>
      </c>
      <c r="AC164" s="42" t="s">
        <v>47</v>
      </c>
      <c r="AD164" s="43"/>
    </row>
    <row r="165" spans="2:30" x14ac:dyDescent="0.3">
      <c r="B165" s="33"/>
      <c r="C165" s="35"/>
      <c r="D165" s="37"/>
      <c r="E165" s="39"/>
      <c r="F165" s="3" t="str">
        <f>$F$3</f>
        <v>ПТ</v>
      </c>
      <c r="G165" s="3" t="str">
        <f>$G$3</f>
        <v>ПН</v>
      </c>
      <c r="H165" s="3" t="str">
        <f>$H$3</f>
        <v>ВТ</v>
      </c>
      <c r="I165" s="3" t="str">
        <f>$I$3</f>
        <v>СР</v>
      </c>
      <c r="J165" s="3" t="str">
        <f>$J$3</f>
        <v>ЧТ</v>
      </c>
      <c r="K165" s="3" t="str">
        <f>$K$3</f>
        <v>ПТ</v>
      </c>
      <c r="L165" s="3" t="str">
        <f>$L$3</f>
        <v>ПН</v>
      </c>
      <c r="M165" s="3" t="str">
        <f>$M$3</f>
        <v>ВТ</v>
      </c>
      <c r="N165" s="3" t="str">
        <f>$N$3</f>
        <v>СР</v>
      </c>
      <c r="O165" s="3" t="str">
        <f>$O$3</f>
        <v>ЧТ</v>
      </c>
      <c r="P165" s="3" t="str">
        <f>$P$3</f>
        <v>ПТ</v>
      </c>
      <c r="Q165" s="3" t="str">
        <f>$Q$3</f>
        <v>ПН</v>
      </c>
      <c r="R165" s="3" t="str">
        <f>$R$3</f>
        <v>ВТ</v>
      </c>
      <c r="S165" s="3" t="str">
        <f>$S$3</f>
        <v>СР</v>
      </c>
      <c r="T165" s="3" t="str">
        <f>$T$3</f>
        <v>ЧТ</v>
      </c>
      <c r="U165" s="3" t="str">
        <f>$U$3</f>
        <v>ПТ</v>
      </c>
      <c r="V165" s="3" t="str">
        <f>$V$3</f>
        <v>ПН</v>
      </c>
      <c r="W165" s="3" t="str">
        <f>$W$3</f>
        <v>ВТ</v>
      </c>
      <c r="X165" s="3" t="str">
        <f>$X$3</f>
        <v>СР</v>
      </c>
      <c r="Y165" s="3" t="str">
        <f>$Y$3</f>
        <v>ЧТ</v>
      </c>
      <c r="Z165" s="3" t="str">
        <f>$Z$3</f>
        <v>ПТ</v>
      </c>
      <c r="AA165" s="41"/>
      <c r="AC165" s="11"/>
      <c r="AD165" s="12"/>
    </row>
    <row r="166" spans="2:30" x14ac:dyDescent="0.3">
      <c r="B166" s="33"/>
      <c r="C166" s="35"/>
      <c r="D166" s="37"/>
      <c r="E166" s="39"/>
      <c r="F166" s="3">
        <f>$F$4</f>
        <v>1</v>
      </c>
      <c r="G166" s="3">
        <f>$G$4</f>
        <v>4</v>
      </c>
      <c r="H166" s="3">
        <f>$H$4</f>
        <v>5</v>
      </c>
      <c r="I166" s="3">
        <f>$I$4</f>
        <v>6</v>
      </c>
      <c r="J166" s="3">
        <f>$J$4</f>
        <v>7</v>
      </c>
      <c r="K166" s="3">
        <f>$K$4</f>
        <v>8</v>
      </c>
      <c r="L166" s="3">
        <f>$L$4</f>
        <v>11</v>
      </c>
      <c r="M166" s="3">
        <f>$M$4</f>
        <v>12</v>
      </c>
      <c r="N166" s="3">
        <f>$N$4</f>
        <v>13</v>
      </c>
      <c r="O166" s="3">
        <f>$O$4</f>
        <v>14</v>
      </c>
      <c r="P166" s="3">
        <f>$P$4</f>
        <v>15</v>
      </c>
      <c r="Q166" s="3">
        <f>$Q$4</f>
        <v>18</v>
      </c>
      <c r="R166" s="3">
        <f>$R$4</f>
        <v>19</v>
      </c>
      <c r="S166" s="3">
        <f>$S$4</f>
        <v>20</v>
      </c>
      <c r="T166" s="3">
        <f>$T$4</f>
        <v>21</v>
      </c>
      <c r="U166" s="3">
        <f>$U$4</f>
        <v>22</v>
      </c>
      <c r="V166" s="3">
        <f>$V$4</f>
        <v>25</v>
      </c>
      <c r="W166" s="3">
        <f>$W$4</f>
        <v>26</v>
      </c>
      <c r="X166" s="3">
        <f>$X$4</f>
        <v>27</v>
      </c>
      <c r="Y166" s="3">
        <f>$Y$4</f>
        <v>28</v>
      </c>
      <c r="Z166" s="3">
        <f>$Z$4</f>
        <v>29</v>
      </c>
      <c r="AA166" s="41"/>
      <c r="AC166" s="11"/>
      <c r="AD166" s="12"/>
    </row>
    <row r="167" spans="2:30" x14ac:dyDescent="0.3">
      <c r="B167" s="27" t="s">
        <v>15</v>
      </c>
      <c r="C167" s="4" t="s">
        <v>9</v>
      </c>
      <c r="D167" s="17" t="s">
        <v>28</v>
      </c>
      <c r="E167" s="10">
        <f>AC174/AC170/8</f>
        <v>119.04761904761905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5">
        <f>SUM(F167:Z167)</f>
        <v>0</v>
      </c>
      <c r="AC167" s="13"/>
      <c r="AD167" s="14"/>
    </row>
    <row r="168" spans="2:30" ht="4.8" customHeight="1" x14ac:dyDescent="0.3">
      <c r="B168" s="2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8"/>
    </row>
    <row r="169" spans="2:30" x14ac:dyDescent="0.3">
      <c r="B169" s="27"/>
      <c r="C169" s="29" t="s">
        <v>37</v>
      </c>
      <c r="D169" s="21"/>
      <c r="E169" s="20" t="s">
        <v>31</v>
      </c>
      <c r="F169" s="20"/>
      <c r="G169" s="20"/>
      <c r="H169" s="20"/>
      <c r="I169" s="20" t="s">
        <v>40</v>
      </c>
      <c r="J169" s="20"/>
      <c r="K169" s="20"/>
      <c r="L169" s="20"/>
      <c r="M169" s="20"/>
      <c r="N169" s="20"/>
      <c r="O169" s="20" t="s">
        <v>34</v>
      </c>
      <c r="P169" s="20"/>
      <c r="Q169" s="20"/>
      <c r="R169" s="20"/>
      <c r="S169" s="20"/>
      <c r="T169" s="20"/>
      <c r="U169" s="20" t="s">
        <v>35</v>
      </c>
      <c r="V169" s="20"/>
      <c r="W169" s="20"/>
      <c r="X169" s="20"/>
      <c r="Y169" s="20"/>
      <c r="Z169" s="20"/>
      <c r="AA169" s="9" t="s">
        <v>36</v>
      </c>
      <c r="AC169" s="21" t="s">
        <v>45</v>
      </c>
      <c r="AD169" s="21"/>
    </row>
    <row r="170" spans="2:30" x14ac:dyDescent="0.3">
      <c r="B170" s="27"/>
      <c r="C170" s="29"/>
      <c r="D170" s="21"/>
      <c r="E170" s="22">
        <f>E167*AA167</f>
        <v>0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4">
        <f>E170+I170+O170-U170</f>
        <v>0</v>
      </c>
      <c r="AC170" s="21">
        <f>$AC$8</f>
        <v>21</v>
      </c>
      <c r="AD170" s="21"/>
    </row>
    <row r="171" spans="2:30" x14ac:dyDescent="0.3">
      <c r="B171" s="27"/>
      <c r="C171" s="29"/>
      <c r="D171" s="21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4"/>
      <c r="AC171" s="21"/>
      <c r="AD171" s="21"/>
    </row>
    <row r="172" spans="2:30" ht="4.8" customHeight="1" x14ac:dyDescent="0.3">
      <c r="B172" s="2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8"/>
    </row>
    <row r="173" spans="2:30" x14ac:dyDescent="0.3">
      <c r="B173" s="27"/>
      <c r="C173" s="29" t="s">
        <v>38</v>
      </c>
      <c r="D173" s="21"/>
      <c r="E173" s="20" t="s">
        <v>39</v>
      </c>
      <c r="F173" s="20"/>
      <c r="G173" s="20"/>
      <c r="H173" s="20"/>
      <c r="I173" s="20" t="s">
        <v>41</v>
      </c>
      <c r="J173" s="20"/>
      <c r="K173" s="20"/>
      <c r="L173" s="20"/>
      <c r="M173" s="20"/>
      <c r="N173" s="20"/>
      <c r="O173" s="20" t="s">
        <v>42</v>
      </c>
      <c r="P173" s="20"/>
      <c r="Q173" s="20"/>
      <c r="R173" s="20"/>
      <c r="S173" s="20"/>
      <c r="T173" s="20"/>
      <c r="U173" s="20" t="s">
        <v>43</v>
      </c>
      <c r="V173" s="20"/>
      <c r="W173" s="20"/>
      <c r="X173" s="20"/>
      <c r="Y173" s="20"/>
      <c r="Z173" s="20"/>
      <c r="AA173" s="9" t="s">
        <v>36</v>
      </c>
      <c r="AC173" s="21" t="s">
        <v>46</v>
      </c>
      <c r="AD173" s="21"/>
    </row>
    <row r="174" spans="2:30" x14ac:dyDescent="0.3">
      <c r="B174" s="27"/>
      <c r="C174" s="29"/>
      <c r="D174" s="21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4">
        <f>E174+I174+O174+U174</f>
        <v>0</v>
      </c>
      <c r="AC174" s="26">
        <v>20000</v>
      </c>
      <c r="AD174" s="26"/>
    </row>
    <row r="175" spans="2:30" ht="15" thickBot="1" x14ac:dyDescent="0.35">
      <c r="B175" s="28"/>
      <c r="C175" s="30"/>
      <c r="D175" s="31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5"/>
      <c r="AC175" s="26"/>
      <c r="AD175" s="26"/>
    </row>
    <row r="176" spans="2:30" ht="55.2" hidden="1" customHeight="1" outlineLevel="1" thickBot="1" x14ac:dyDescent="0.35"/>
    <row r="177" spans="2:30" ht="16.8" hidden="1" customHeight="1" outlineLevel="1" x14ac:dyDescent="0.3">
      <c r="B177" s="32" t="s">
        <v>0</v>
      </c>
      <c r="C177" s="34" t="s">
        <v>1</v>
      </c>
      <c r="D177" s="36" t="s">
        <v>27</v>
      </c>
      <c r="E177" s="38" t="s">
        <v>30</v>
      </c>
      <c r="F177" s="34" t="str">
        <f>F164</f>
        <v>Травень 2026р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40" t="s">
        <v>33</v>
      </c>
    </row>
    <row r="178" spans="2:30" hidden="1" outlineLevel="1" x14ac:dyDescent="0.3">
      <c r="B178" s="33"/>
      <c r="C178" s="35"/>
      <c r="D178" s="37"/>
      <c r="E178" s="39"/>
      <c r="F178" s="3" t="str">
        <f>F165</f>
        <v>ПТ</v>
      </c>
      <c r="G178" s="3" t="str">
        <f t="shared" ref="G178:Z178" si="41">G165</f>
        <v>ПН</v>
      </c>
      <c r="H178" s="3" t="str">
        <f t="shared" si="41"/>
        <v>ВТ</v>
      </c>
      <c r="I178" s="3" t="str">
        <f t="shared" si="41"/>
        <v>СР</v>
      </c>
      <c r="J178" s="3" t="str">
        <f t="shared" si="41"/>
        <v>ЧТ</v>
      </c>
      <c r="K178" s="3" t="str">
        <f t="shared" si="41"/>
        <v>ПТ</v>
      </c>
      <c r="L178" s="3" t="str">
        <f t="shared" si="41"/>
        <v>ПН</v>
      </c>
      <c r="M178" s="3" t="str">
        <f t="shared" si="41"/>
        <v>ВТ</v>
      </c>
      <c r="N178" s="3" t="str">
        <f t="shared" si="41"/>
        <v>СР</v>
      </c>
      <c r="O178" s="3" t="str">
        <f t="shared" si="41"/>
        <v>ЧТ</v>
      </c>
      <c r="P178" s="3" t="str">
        <f t="shared" si="41"/>
        <v>ПТ</v>
      </c>
      <c r="Q178" s="3" t="str">
        <f t="shared" si="41"/>
        <v>ПН</v>
      </c>
      <c r="R178" s="3" t="str">
        <f t="shared" si="41"/>
        <v>ВТ</v>
      </c>
      <c r="S178" s="3" t="str">
        <f t="shared" si="41"/>
        <v>СР</v>
      </c>
      <c r="T178" s="3" t="str">
        <f t="shared" si="41"/>
        <v>ЧТ</v>
      </c>
      <c r="U178" s="3" t="str">
        <f t="shared" si="41"/>
        <v>ПТ</v>
      </c>
      <c r="V178" s="3" t="str">
        <f t="shared" si="41"/>
        <v>ПН</v>
      </c>
      <c r="W178" s="3" t="str">
        <f t="shared" si="41"/>
        <v>ВТ</v>
      </c>
      <c r="X178" s="3" t="str">
        <f t="shared" si="41"/>
        <v>СР</v>
      </c>
      <c r="Y178" s="3" t="str">
        <f t="shared" si="41"/>
        <v>ЧТ</v>
      </c>
      <c r="Z178" s="3" t="str">
        <f t="shared" si="41"/>
        <v>ПТ</v>
      </c>
      <c r="AA178" s="41"/>
    </row>
    <row r="179" spans="2:30" hidden="1" outlineLevel="1" x14ac:dyDescent="0.3">
      <c r="B179" s="33"/>
      <c r="C179" s="35"/>
      <c r="D179" s="37"/>
      <c r="E179" s="39"/>
      <c r="F179" s="3">
        <f>F166</f>
        <v>1</v>
      </c>
      <c r="G179" s="3">
        <f t="shared" ref="G179:X179" si="42">G166</f>
        <v>4</v>
      </c>
      <c r="H179" s="3">
        <f t="shared" si="42"/>
        <v>5</v>
      </c>
      <c r="I179" s="3">
        <f t="shared" si="42"/>
        <v>6</v>
      </c>
      <c r="J179" s="3">
        <f t="shared" si="42"/>
        <v>7</v>
      </c>
      <c r="K179" s="3">
        <f t="shared" si="42"/>
        <v>8</v>
      </c>
      <c r="L179" s="3">
        <f t="shared" si="42"/>
        <v>11</v>
      </c>
      <c r="M179" s="3">
        <f t="shared" si="42"/>
        <v>12</v>
      </c>
      <c r="N179" s="3">
        <f t="shared" si="42"/>
        <v>13</v>
      </c>
      <c r="O179" s="3">
        <f t="shared" si="42"/>
        <v>14</v>
      </c>
      <c r="P179" s="3">
        <f t="shared" si="42"/>
        <v>15</v>
      </c>
      <c r="Q179" s="3">
        <f t="shared" si="42"/>
        <v>18</v>
      </c>
      <c r="R179" s="3">
        <f t="shared" si="42"/>
        <v>19</v>
      </c>
      <c r="S179" s="3">
        <f t="shared" si="42"/>
        <v>20</v>
      </c>
      <c r="T179" s="3">
        <f t="shared" si="42"/>
        <v>21</v>
      </c>
      <c r="U179" s="3">
        <f t="shared" si="42"/>
        <v>22</v>
      </c>
      <c r="V179" s="3">
        <f t="shared" si="42"/>
        <v>25</v>
      </c>
      <c r="W179" s="3">
        <f t="shared" si="42"/>
        <v>26</v>
      </c>
      <c r="X179" s="3">
        <f t="shared" si="42"/>
        <v>27</v>
      </c>
      <c r="Y179" s="3">
        <f>Y166</f>
        <v>28</v>
      </c>
      <c r="Z179" s="3">
        <f t="shared" ref="Z179" si="43">Z166</f>
        <v>29</v>
      </c>
      <c r="AA179" s="41"/>
    </row>
    <row r="180" spans="2:30" hidden="1" outlineLevel="1" x14ac:dyDescent="0.3">
      <c r="B180" s="27" t="str">
        <f>B167</f>
        <v>Колядова Анастасія</v>
      </c>
      <c r="C180" s="4" t="str">
        <f>C167</f>
        <v>оператор устаткування</v>
      </c>
      <c r="D180" s="3" t="str">
        <f>D167</f>
        <v>Так</v>
      </c>
      <c r="E180" s="10">
        <f>E167</f>
        <v>119.04761904761905</v>
      </c>
      <c r="F180" s="3">
        <f>F167</f>
        <v>0</v>
      </c>
      <c r="G180" s="3">
        <f t="shared" ref="G180:Z180" si="44">G167</f>
        <v>0</v>
      </c>
      <c r="H180" s="3">
        <f t="shared" si="44"/>
        <v>0</v>
      </c>
      <c r="I180" s="3">
        <f t="shared" si="44"/>
        <v>0</v>
      </c>
      <c r="J180" s="3">
        <f t="shared" si="44"/>
        <v>0</v>
      </c>
      <c r="K180" s="3">
        <f t="shared" si="44"/>
        <v>0</v>
      </c>
      <c r="L180" s="3">
        <f t="shared" si="44"/>
        <v>0</v>
      </c>
      <c r="M180" s="3">
        <f t="shared" si="44"/>
        <v>0</v>
      </c>
      <c r="N180" s="3">
        <f t="shared" si="44"/>
        <v>0</v>
      </c>
      <c r="O180" s="3">
        <f t="shared" si="44"/>
        <v>0</v>
      </c>
      <c r="P180" s="3">
        <f t="shared" si="44"/>
        <v>0</v>
      </c>
      <c r="Q180" s="3">
        <f t="shared" si="44"/>
        <v>0</v>
      </c>
      <c r="R180" s="3">
        <f t="shared" si="44"/>
        <v>0</v>
      </c>
      <c r="S180" s="3">
        <f t="shared" si="44"/>
        <v>0</v>
      </c>
      <c r="T180" s="3">
        <f t="shared" si="44"/>
        <v>0</v>
      </c>
      <c r="U180" s="3">
        <f t="shared" si="44"/>
        <v>0</v>
      </c>
      <c r="V180" s="3">
        <f t="shared" si="44"/>
        <v>0</v>
      </c>
      <c r="W180" s="3">
        <f t="shared" si="44"/>
        <v>0</v>
      </c>
      <c r="X180" s="3">
        <f t="shared" si="44"/>
        <v>0</v>
      </c>
      <c r="Y180" s="3">
        <f t="shared" si="44"/>
        <v>0</v>
      </c>
      <c r="Z180" s="3">
        <f t="shared" si="44"/>
        <v>0</v>
      </c>
      <c r="AA180" s="5">
        <f>AA167</f>
        <v>0</v>
      </c>
    </row>
    <row r="181" spans="2:30" ht="7.8" hidden="1" customHeight="1" outlineLevel="1" x14ac:dyDescent="0.3">
      <c r="B181" s="2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8"/>
    </row>
    <row r="182" spans="2:30" hidden="1" outlineLevel="1" x14ac:dyDescent="0.3">
      <c r="B182" s="27"/>
      <c r="C182" s="29" t="s">
        <v>37</v>
      </c>
      <c r="D182" s="21"/>
      <c r="E182" s="20" t="s">
        <v>31</v>
      </c>
      <c r="F182" s="20"/>
      <c r="G182" s="20"/>
      <c r="H182" s="20"/>
      <c r="I182" s="20" t="s">
        <v>40</v>
      </c>
      <c r="J182" s="20"/>
      <c r="K182" s="20"/>
      <c r="L182" s="20"/>
      <c r="M182" s="20"/>
      <c r="N182" s="20"/>
      <c r="O182" s="20" t="s">
        <v>34</v>
      </c>
      <c r="P182" s="20"/>
      <c r="Q182" s="20"/>
      <c r="R182" s="20"/>
      <c r="S182" s="20"/>
      <c r="T182" s="20"/>
      <c r="U182" s="20" t="s">
        <v>35</v>
      </c>
      <c r="V182" s="20"/>
      <c r="W182" s="20"/>
      <c r="X182" s="20"/>
      <c r="Y182" s="20"/>
      <c r="Z182" s="20"/>
      <c r="AA182" s="9" t="s">
        <v>36</v>
      </c>
      <c r="AC182" s="21" t="s">
        <v>45</v>
      </c>
      <c r="AD182" s="21"/>
    </row>
    <row r="183" spans="2:30" hidden="1" outlineLevel="1" x14ac:dyDescent="0.3">
      <c r="B183" s="27"/>
      <c r="C183" s="29"/>
      <c r="D183" s="21"/>
      <c r="E183" s="22">
        <f>E170</f>
        <v>0</v>
      </c>
      <c r="F183" s="22"/>
      <c r="G183" s="22"/>
      <c r="H183" s="22"/>
      <c r="I183" s="22">
        <f>I170</f>
        <v>0</v>
      </c>
      <c r="J183" s="22"/>
      <c r="K183" s="22"/>
      <c r="L183" s="22"/>
      <c r="M183" s="22"/>
      <c r="N183" s="22"/>
      <c r="O183" s="22">
        <f t="shared" ref="O183" si="45">O170</f>
        <v>0</v>
      </c>
      <c r="P183" s="22"/>
      <c r="Q183" s="22"/>
      <c r="R183" s="22"/>
      <c r="S183" s="22"/>
      <c r="T183" s="22"/>
      <c r="U183" s="22">
        <f>U170</f>
        <v>0</v>
      </c>
      <c r="V183" s="22"/>
      <c r="W183" s="22"/>
      <c r="X183" s="22"/>
      <c r="Y183" s="22"/>
      <c r="Z183" s="22"/>
      <c r="AA183" s="24">
        <f>AA170</f>
        <v>0</v>
      </c>
      <c r="AC183" s="21">
        <f>AC170</f>
        <v>21</v>
      </c>
      <c r="AD183" s="21"/>
    </row>
    <row r="184" spans="2:30" hidden="1" outlineLevel="1" x14ac:dyDescent="0.3">
      <c r="B184" s="27"/>
      <c r="C184" s="29"/>
      <c r="D184" s="21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4"/>
      <c r="AC184" s="21"/>
      <c r="AD184" s="21"/>
    </row>
    <row r="185" spans="2:30" ht="7.2" hidden="1" customHeight="1" outlineLevel="1" x14ac:dyDescent="0.3">
      <c r="B185" s="2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8"/>
    </row>
    <row r="186" spans="2:30" hidden="1" outlineLevel="1" x14ac:dyDescent="0.3">
      <c r="B186" s="27"/>
      <c r="C186" s="29" t="s">
        <v>38</v>
      </c>
      <c r="D186" s="21"/>
      <c r="E186" s="20" t="s">
        <v>39</v>
      </c>
      <c r="F186" s="20"/>
      <c r="G186" s="20"/>
      <c r="H186" s="20"/>
      <c r="I186" s="20" t="s">
        <v>41</v>
      </c>
      <c r="J186" s="20"/>
      <c r="K186" s="20"/>
      <c r="L186" s="20"/>
      <c r="M186" s="20"/>
      <c r="N186" s="20"/>
      <c r="O186" s="20" t="s">
        <v>42</v>
      </c>
      <c r="P186" s="20"/>
      <c r="Q186" s="20"/>
      <c r="R186" s="20"/>
      <c r="S186" s="20"/>
      <c r="T186" s="20"/>
      <c r="U186" s="20" t="s">
        <v>43</v>
      </c>
      <c r="V186" s="20"/>
      <c r="W186" s="20"/>
      <c r="X186" s="20"/>
      <c r="Y186" s="20"/>
      <c r="Z186" s="20"/>
      <c r="AA186" s="9" t="s">
        <v>36</v>
      </c>
      <c r="AC186" s="21" t="s">
        <v>46</v>
      </c>
      <c r="AD186" s="21"/>
    </row>
    <row r="187" spans="2:30" hidden="1" outlineLevel="1" x14ac:dyDescent="0.3">
      <c r="B187" s="27"/>
      <c r="C187" s="29"/>
      <c r="D187" s="21"/>
      <c r="E187" s="22">
        <f>E174</f>
        <v>0</v>
      </c>
      <c r="F187" s="22"/>
      <c r="G187" s="22"/>
      <c r="H187" s="22"/>
      <c r="I187" s="22">
        <f>I174</f>
        <v>0</v>
      </c>
      <c r="J187" s="22"/>
      <c r="K187" s="22"/>
      <c r="L187" s="22"/>
      <c r="M187" s="22"/>
      <c r="N187" s="22"/>
      <c r="O187" s="22">
        <f t="shared" ref="O187" si="46">O174</f>
        <v>0</v>
      </c>
      <c r="P187" s="22"/>
      <c r="Q187" s="22"/>
      <c r="R187" s="22"/>
      <c r="S187" s="22"/>
      <c r="T187" s="22"/>
      <c r="U187" s="22">
        <f t="shared" ref="U187" si="47">U174</f>
        <v>0</v>
      </c>
      <c r="V187" s="22"/>
      <c r="W187" s="22"/>
      <c r="X187" s="22"/>
      <c r="Y187" s="22"/>
      <c r="Z187" s="22"/>
      <c r="AA187" s="24">
        <f>AA174</f>
        <v>0</v>
      </c>
      <c r="AC187" s="26">
        <f>AC174</f>
        <v>20000</v>
      </c>
      <c r="AD187" s="26"/>
    </row>
    <row r="188" spans="2:30" ht="15" hidden="1" outlineLevel="1" thickBot="1" x14ac:dyDescent="0.35">
      <c r="B188" s="28"/>
      <c r="C188" s="30"/>
      <c r="D188" s="31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5"/>
      <c r="AC188" s="26"/>
      <c r="AD188" s="26"/>
    </row>
    <row r="189" spans="2:30" s="15" customFormat="1" collapsed="1" x14ac:dyDescent="0.3">
      <c r="B189" s="19"/>
      <c r="D189" s="16"/>
    </row>
    <row r="190" spans="2:30" ht="3.6" customHeight="1" thickBot="1" x14ac:dyDescent="0.35"/>
    <row r="191" spans="2:30" ht="16.8" customHeight="1" x14ac:dyDescent="0.3">
      <c r="B191" s="32" t="s">
        <v>0</v>
      </c>
      <c r="C191" s="34" t="s">
        <v>1</v>
      </c>
      <c r="D191" s="36" t="s">
        <v>27</v>
      </c>
      <c r="E191" s="38" t="s">
        <v>30</v>
      </c>
      <c r="F191" s="44" t="str">
        <f>$F$2</f>
        <v>Травень 2026р</v>
      </c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0" t="s">
        <v>33</v>
      </c>
      <c r="AC191" s="42" t="s">
        <v>47</v>
      </c>
      <c r="AD191" s="43"/>
    </row>
    <row r="192" spans="2:30" x14ac:dyDescent="0.3">
      <c r="B192" s="33"/>
      <c r="C192" s="35"/>
      <c r="D192" s="37"/>
      <c r="E192" s="39"/>
      <c r="F192" s="3" t="str">
        <f>$F$3</f>
        <v>ПТ</v>
      </c>
      <c r="G192" s="3" t="str">
        <f>$G$3</f>
        <v>ПН</v>
      </c>
      <c r="H192" s="3" t="str">
        <f>$H$3</f>
        <v>ВТ</v>
      </c>
      <c r="I192" s="3" t="str">
        <f>$I$3</f>
        <v>СР</v>
      </c>
      <c r="J192" s="3" t="str">
        <f>$J$3</f>
        <v>ЧТ</v>
      </c>
      <c r="K192" s="3" t="str">
        <f>$K$3</f>
        <v>ПТ</v>
      </c>
      <c r="L192" s="3" t="str">
        <f>$L$3</f>
        <v>ПН</v>
      </c>
      <c r="M192" s="3" t="str">
        <f>$M$3</f>
        <v>ВТ</v>
      </c>
      <c r="N192" s="3" t="str">
        <f>$N$3</f>
        <v>СР</v>
      </c>
      <c r="O192" s="3" t="str">
        <f>$O$3</f>
        <v>ЧТ</v>
      </c>
      <c r="P192" s="3" t="str">
        <f>$P$3</f>
        <v>ПТ</v>
      </c>
      <c r="Q192" s="3" t="str">
        <f>$Q$3</f>
        <v>ПН</v>
      </c>
      <c r="R192" s="3" t="str">
        <f>$R$3</f>
        <v>ВТ</v>
      </c>
      <c r="S192" s="3" t="str">
        <f>$S$3</f>
        <v>СР</v>
      </c>
      <c r="T192" s="3" t="str">
        <f>$T$3</f>
        <v>ЧТ</v>
      </c>
      <c r="U192" s="3" t="str">
        <f>$U$3</f>
        <v>ПТ</v>
      </c>
      <c r="V192" s="3" t="str">
        <f>$V$3</f>
        <v>ПН</v>
      </c>
      <c r="W192" s="3" t="str">
        <f>$W$3</f>
        <v>ВТ</v>
      </c>
      <c r="X192" s="3" t="str">
        <f>$X$3</f>
        <v>СР</v>
      </c>
      <c r="Y192" s="3" t="str">
        <f>$Y$3</f>
        <v>ЧТ</v>
      </c>
      <c r="Z192" s="3" t="str">
        <f>$Z$3</f>
        <v>ПТ</v>
      </c>
      <c r="AA192" s="41"/>
      <c r="AC192" s="11"/>
      <c r="AD192" s="12"/>
    </row>
    <row r="193" spans="2:30" x14ac:dyDescent="0.3">
      <c r="B193" s="33"/>
      <c r="C193" s="35"/>
      <c r="D193" s="37"/>
      <c r="E193" s="39"/>
      <c r="F193" s="3">
        <f>$F$4</f>
        <v>1</v>
      </c>
      <c r="G193" s="3">
        <f>$G$4</f>
        <v>4</v>
      </c>
      <c r="H193" s="3">
        <f>$H$4</f>
        <v>5</v>
      </c>
      <c r="I193" s="3">
        <f>$I$4</f>
        <v>6</v>
      </c>
      <c r="J193" s="3">
        <f>$J$4</f>
        <v>7</v>
      </c>
      <c r="K193" s="3">
        <f>$K$4</f>
        <v>8</v>
      </c>
      <c r="L193" s="3">
        <f>$L$4</f>
        <v>11</v>
      </c>
      <c r="M193" s="3">
        <f>$M$4</f>
        <v>12</v>
      </c>
      <c r="N193" s="3">
        <f>$N$4</f>
        <v>13</v>
      </c>
      <c r="O193" s="3">
        <f>$O$4</f>
        <v>14</v>
      </c>
      <c r="P193" s="3">
        <f>$P$4</f>
        <v>15</v>
      </c>
      <c r="Q193" s="3">
        <f>$Q$4</f>
        <v>18</v>
      </c>
      <c r="R193" s="3">
        <f>$R$4</f>
        <v>19</v>
      </c>
      <c r="S193" s="3">
        <f>$S$4</f>
        <v>20</v>
      </c>
      <c r="T193" s="3">
        <f>$T$4</f>
        <v>21</v>
      </c>
      <c r="U193" s="3">
        <f>$U$4</f>
        <v>22</v>
      </c>
      <c r="V193" s="3">
        <f>$V$4</f>
        <v>25</v>
      </c>
      <c r="W193" s="3">
        <f>$W$4</f>
        <v>26</v>
      </c>
      <c r="X193" s="3">
        <f>$X$4</f>
        <v>27</v>
      </c>
      <c r="Y193" s="3">
        <f>$Y$4</f>
        <v>28</v>
      </c>
      <c r="Z193" s="3">
        <f>$Z$4</f>
        <v>29</v>
      </c>
      <c r="AA193" s="41"/>
      <c r="AC193" s="11"/>
      <c r="AD193" s="12"/>
    </row>
    <row r="194" spans="2:30" x14ac:dyDescent="0.3">
      <c r="B194" s="27" t="s">
        <v>16</v>
      </c>
      <c r="C194" s="4" t="s">
        <v>17</v>
      </c>
      <c r="D194" s="17" t="s">
        <v>28</v>
      </c>
      <c r="E194" s="10">
        <f>AC201/AC197/8</f>
        <v>119.04761904761905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5">
        <f>SUM(F194:Z194)</f>
        <v>0</v>
      </c>
      <c r="AC194" s="13"/>
      <c r="AD194" s="14"/>
    </row>
    <row r="195" spans="2:30" ht="4.8" customHeight="1" x14ac:dyDescent="0.3">
      <c r="B195" s="2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8"/>
    </row>
    <row r="196" spans="2:30" x14ac:dyDescent="0.3">
      <c r="B196" s="27"/>
      <c r="C196" s="29" t="s">
        <v>37</v>
      </c>
      <c r="D196" s="21"/>
      <c r="E196" s="20" t="s">
        <v>31</v>
      </c>
      <c r="F196" s="20"/>
      <c r="G196" s="20"/>
      <c r="H196" s="20"/>
      <c r="I196" s="20" t="s">
        <v>40</v>
      </c>
      <c r="J196" s="20"/>
      <c r="K196" s="20"/>
      <c r="L196" s="20"/>
      <c r="M196" s="20"/>
      <c r="N196" s="20"/>
      <c r="O196" s="20" t="s">
        <v>34</v>
      </c>
      <c r="P196" s="20"/>
      <c r="Q196" s="20"/>
      <c r="R196" s="20"/>
      <c r="S196" s="20"/>
      <c r="T196" s="20"/>
      <c r="U196" s="20" t="s">
        <v>35</v>
      </c>
      <c r="V196" s="20"/>
      <c r="W196" s="20"/>
      <c r="X196" s="20"/>
      <c r="Y196" s="20"/>
      <c r="Z196" s="20"/>
      <c r="AA196" s="9" t="s">
        <v>36</v>
      </c>
      <c r="AC196" s="21" t="s">
        <v>45</v>
      </c>
      <c r="AD196" s="21"/>
    </row>
    <row r="197" spans="2:30" x14ac:dyDescent="0.3">
      <c r="B197" s="27"/>
      <c r="C197" s="29"/>
      <c r="D197" s="21"/>
      <c r="E197" s="22">
        <f>E194*AA194</f>
        <v>0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4">
        <f>E197+I197+O197-U197</f>
        <v>0</v>
      </c>
      <c r="AC197" s="21">
        <f>$AC$8</f>
        <v>21</v>
      </c>
      <c r="AD197" s="21"/>
    </row>
    <row r="198" spans="2:30" x14ac:dyDescent="0.3">
      <c r="B198" s="27"/>
      <c r="C198" s="29"/>
      <c r="D198" s="21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4"/>
      <c r="AC198" s="21"/>
      <c r="AD198" s="21"/>
    </row>
    <row r="199" spans="2:30" ht="4.8" customHeight="1" x14ac:dyDescent="0.3">
      <c r="B199" s="2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8"/>
    </row>
    <row r="200" spans="2:30" x14ac:dyDescent="0.3">
      <c r="B200" s="27"/>
      <c r="C200" s="29" t="s">
        <v>38</v>
      </c>
      <c r="D200" s="21"/>
      <c r="E200" s="20" t="s">
        <v>39</v>
      </c>
      <c r="F200" s="20"/>
      <c r="G200" s="20"/>
      <c r="H200" s="20"/>
      <c r="I200" s="20" t="s">
        <v>41</v>
      </c>
      <c r="J200" s="20"/>
      <c r="K200" s="20"/>
      <c r="L200" s="20"/>
      <c r="M200" s="20"/>
      <c r="N200" s="20"/>
      <c r="O200" s="20" t="s">
        <v>42</v>
      </c>
      <c r="P200" s="20"/>
      <c r="Q200" s="20"/>
      <c r="R200" s="20"/>
      <c r="S200" s="20"/>
      <c r="T200" s="20"/>
      <c r="U200" s="20" t="s">
        <v>43</v>
      </c>
      <c r="V200" s="20"/>
      <c r="W200" s="20"/>
      <c r="X200" s="20"/>
      <c r="Y200" s="20"/>
      <c r="Z200" s="20"/>
      <c r="AA200" s="9" t="s">
        <v>36</v>
      </c>
      <c r="AC200" s="21" t="s">
        <v>46</v>
      </c>
      <c r="AD200" s="21"/>
    </row>
    <row r="201" spans="2:30" x14ac:dyDescent="0.3">
      <c r="B201" s="27"/>
      <c r="C201" s="29"/>
      <c r="D201" s="21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4">
        <f>E201+I201+O201+U201</f>
        <v>0</v>
      </c>
      <c r="AC201" s="26">
        <v>20000</v>
      </c>
      <c r="AD201" s="26"/>
    </row>
    <row r="202" spans="2:30" ht="15" thickBot="1" x14ac:dyDescent="0.35">
      <c r="B202" s="28"/>
      <c r="C202" s="30"/>
      <c r="D202" s="31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5"/>
      <c r="AC202" s="26"/>
      <c r="AD202" s="26"/>
    </row>
    <row r="203" spans="2:30" ht="55.2" hidden="1" customHeight="1" outlineLevel="1" thickBot="1" x14ac:dyDescent="0.35"/>
    <row r="204" spans="2:30" ht="16.8" hidden="1" customHeight="1" outlineLevel="1" x14ac:dyDescent="0.3">
      <c r="B204" s="32" t="s">
        <v>0</v>
      </c>
      <c r="C204" s="34" t="s">
        <v>1</v>
      </c>
      <c r="D204" s="36" t="s">
        <v>27</v>
      </c>
      <c r="E204" s="38" t="s">
        <v>30</v>
      </c>
      <c r="F204" s="34" t="str">
        <f>F191</f>
        <v>Травень 2026р</v>
      </c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40" t="s">
        <v>33</v>
      </c>
    </row>
    <row r="205" spans="2:30" hidden="1" outlineLevel="1" x14ac:dyDescent="0.3">
      <c r="B205" s="33"/>
      <c r="C205" s="35"/>
      <c r="D205" s="37"/>
      <c r="E205" s="39"/>
      <c r="F205" s="3" t="str">
        <f>F192</f>
        <v>ПТ</v>
      </c>
      <c r="G205" s="3" t="str">
        <f t="shared" ref="G205:Z205" si="48">G192</f>
        <v>ПН</v>
      </c>
      <c r="H205" s="3" t="str">
        <f t="shared" si="48"/>
        <v>ВТ</v>
      </c>
      <c r="I205" s="3" t="str">
        <f t="shared" si="48"/>
        <v>СР</v>
      </c>
      <c r="J205" s="3" t="str">
        <f t="shared" si="48"/>
        <v>ЧТ</v>
      </c>
      <c r="K205" s="3" t="str">
        <f t="shared" si="48"/>
        <v>ПТ</v>
      </c>
      <c r="L205" s="3" t="str">
        <f t="shared" si="48"/>
        <v>ПН</v>
      </c>
      <c r="M205" s="3" t="str">
        <f t="shared" si="48"/>
        <v>ВТ</v>
      </c>
      <c r="N205" s="3" t="str">
        <f t="shared" si="48"/>
        <v>СР</v>
      </c>
      <c r="O205" s="3" t="str">
        <f t="shared" si="48"/>
        <v>ЧТ</v>
      </c>
      <c r="P205" s="3" t="str">
        <f t="shared" si="48"/>
        <v>ПТ</v>
      </c>
      <c r="Q205" s="3" t="str">
        <f t="shared" si="48"/>
        <v>ПН</v>
      </c>
      <c r="R205" s="3" t="str">
        <f t="shared" si="48"/>
        <v>ВТ</v>
      </c>
      <c r="S205" s="3" t="str">
        <f t="shared" si="48"/>
        <v>СР</v>
      </c>
      <c r="T205" s="3" t="str">
        <f t="shared" si="48"/>
        <v>ЧТ</v>
      </c>
      <c r="U205" s="3" t="str">
        <f t="shared" si="48"/>
        <v>ПТ</v>
      </c>
      <c r="V205" s="3" t="str">
        <f t="shared" si="48"/>
        <v>ПН</v>
      </c>
      <c r="W205" s="3" t="str">
        <f t="shared" si="48"/>
        <v>ВТ</v>
      </c>
      <c r="X205" s="3" t="str">
        <f t="shared" si="48"/>
        <v>СР</v>
      </c>
      <c r="Y205" s="3" t="str">
        <f t="shared" si="48"/>
        <v>ЧТ</v>
      </c>
      <c r="Z205" s="3" t="str">
        <f t="shared" si="48"/>
        <v>ПТ</v>
      </c>
      <c r="AA205" s="41"/>
    </row>
    <row r="206" spans="2:30" hidden="1" outlineLevel="1" x14ac:dyDescent="0.3">
      <c r="B206" s="33"/>
      <c r="C206" s="35"/>
      <c r="D206" s="37"/>
      <c r="E206" s="39"/>
      <c r="F206" s="3">
        <f>F193</f>
        <v>1</v>
      </c>
      <c r="G206" s="3">
        <f t="shared" ref="G206:X206" si="49">G193</f>
        <v>4</v>
      </c>
      <c r="H206" s="3">
        <f t="shared" si="49"/>
        <v>5</v>
      </c>
      <c r="I206" s="3">
        <f t="shared" si="49"/>
        <v>6</v>
      </c>
      <c r="J206" s="3">
        <f t="shared" si="49"/>
        <v>7</v>
      </c>
      <c r="K206" s="3">
        <f t="shared" si="49"/>
        <v>8</v>
      </c>
      <c r="L206" s="3">
        <f t="shared" si="49"/>
        <v>11</v>
      </c>
      <c r="M206" s="3">
        <f t="shared" si="49"/>
        <v>12</v>
      </c>
      <c r="N206" s="3">
        <f t="shared" si="49"/>
        <v>13</v>
      </c>
      <c r="O206" s="3">
        <f t="shared" si="49"/>
        <v>14</v>
      </c>
      <c r="P206" s="3">
        <f t="shared" si="49"/>
        <v>15</v>
      </c>
      <c r="Q206" s="3">
        <f t="shared" si="49"/>
        <v>18</v>
      </c>
      <c r="R206" s="3">
        <f t="shared" si="49"/>
        <v>19</v>
      </c>
      <c r="S206" s="3">
        <f t="shared" si="49"/>
        <v>20</v>
      </c>
      <c r="T206" s="3">
        <f t="shared" si="49"/>
        <v>21</v>
      </c>
      <c r="U206" s="3">
        <f t="shared" si="49"/>
        <v>22</v>
      </c>
      <c r="V206" s="3">
        <f t="shared" si="49"/>
        <v>25</v>
      </c>
      <c r="W206" s="3">
        <f t="shared" si="49"/>
        <v>26</v>
      </c>
      <c r="X206" s="3">
        <f t="shared" si="49"/>
        <v>27</v>
      </c>
      <c r="Y206" s="3">
        <f>Y193</f>
        <v>28</v>
      </c>
      <c r="Z206" s="3">
        <f t="shared" ref="Z206" si="50">Z193</f>
        <v>29</v>
      </c>
      <c r="AA206" s="41"/>
    </row>
    <row r="207" spans="2:30" hidden="1" outlineLevel="1" x14ac:dyDescent="0.3">
      <c r="B207" s="27" t="str">
        <f>B194</f>
        <v>Габовда Клавдія-Юлія</v>
      </c>
      <c r="C207" s="4" t="str">
        <f>C194</f>
        <v>Оператор технологічних установок</v>
      </c>
      <c r="D207" s="3" t="str">
        <f>D194</f>
        <v>Так</v>
      </c>
      <c r="E207" s="10">
        <f>E194</f>
        <v>119.04761904761905</v>
      </c>
      <c r="F207" s="3">
        <f>F194</f>
        <v>0</v>
      </c>
      <c r="G207" s="3">
        <f t="shared" ref="G207:Z207" si="51">G194</f>
        <v>0</v>
      </c>
      <c r="H207" s="3">
        <f t="shared" si="51"/>
        <v>0</v>
      </c>
      <c r="I207" s="3">
        <f t="shared" si="51"/>
        <v>0</v>
      </c>
      <c r="J207" s="3">
        <f t="shared" si="51"/>
        <v>0</v>
      </c>
      <c r="K207" s="3">
        <f t="shared" si="51"/>
        <v>0</v>
      </c>
      <c r="L207" s="3">
        <f t="shared" si="51"/>
        <v>0</v>
      </c>
      <c r="M207" s="3">
        <f t="shared" si="51"/>
        <v>0</v>
      </c>
      <c r="N207" s="3">
        <f t="shared" si="51"/>
        <v>0</v>
      </c>
      <c r="O207" s="3">
        <f t="shared" si="51"/>
        <v>0</v>
      </c>
      <c r="P207" s="3">
        <f t="shared" si="51"/>
        <v>0</v>
      </c>
      <c r="Q207" s="3">
        <f t="shared" si="51"/>
        <v>0</v>
      </c>
      <c r="R207" s="3">
        <f t="shared" si="51"/>
        <v>0</v>
      </c>
      <c r="S207" s="3">
        <f t="shared" si="51"/>
        <v>0</v>
      </c>
      <c r="T207" s="3">
        <f t="shared" si="51"/>
        <v>0</v>
      </c>
      <c r="U207" s="3">
        <f t="shared" si="51"/>
        <v>0</v>
      </c>
      <c r="V207" s="3">
        <f t="shared" si="51"/>
        <v>0</v>
      </c>
      <c r="W207" s="3">
        <f t="shared" si="51"/>
        <v>0</v>
      </c>
      <c r="X207" s="3">
        <f t="shared" si="51"/>
        <v>0</v>
      </c>
      <c r="Y207" s="3">
        <f t="shared" si="51"/>
        <v>0</v>
      </c>
      <c r="Z207" s="3">
        <f t="shared" si="51"/>
        <v>0</v>
      </c>
      <c r="AA207" s="5">
        <f>AA194</f>
        <v>0</v>
      </c>
    </row>
    <row r="208" spans="2:30" ht="7.8" hidden="1" customHeight="1" outlineLevel="1" x14ac:dyDescent="0.3">
      <c r="B208" s="2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8"/>
    </row>
    <row r="209" spans="2:30" hidden="1" outlineLevel="1" x14ac:dyDescent="0.3">
      <c r="B209" s="27"/>
      <c r="C209" s="29" t="s">
        <v>37</v>
      </c>
      <c r="D209" s="21"/>
      <c r="E209" s="20" t="s">
        <v>31</v>
      </c>
      <c r="F209" s="20"/>
      <c r="G209" s="20"/>
      <c r="H209" s="20"/>
      <c r="I209" s="20" t="s">
        <v>40</v>
      </c>
      <c r="J209" s="20"/>
      <c r="K209" s="20"/>
      <c r="L209" s="20"/>
      <c r="M209" s="20"/>
      <c r="N209" s="20"/>
      <c r="O209" s="20" t="s">
        <v>34</v>
      </c>
      <c r="P209" s="20"/>
      <c r="Q209" s="20"/>
      <c r="R209" s="20"/>
      <c r="S209" s="20"/>
      <c r="T209" s="20"/>
      <c r="U209" s="20" t="s">
        <v>35</v>
      </c>
      <c r="V209" s="20"/>
      <c r="W209" s="20"/>
      <c r="X209" s="20"/>
      <c r="Y209" s="20"/>
      <c r="Z209" s="20"/>
      <c r="AA209" s="9" t="s">
        <v>36</v>
      </c>
      <c r="AC209" s="21" t="s">
        <v>45</v>
      </c>
      <c r="AD209" s="21"/>
    </row>
    <row r="210" spans="2:30" hidden="1" outlineLevel="1" x14ac:dyDescent="0.3">
      <c r="B210" s="27"/>
      <c r="C210" s="29"/>
      <c r="D210" s="21"/>
      <c r="E210" s="22">
        <f>E197</f>
        <v>0</v>
      </c>
      <c r="F210" s="22"/>
      <c r="G210" s="22"/>
      <c r="H210" s="22"/>
      <c r="I210" s="22">
        <f>I197</f>
        <v>0</v>
      </c>
      <c r="J210" s="22"/>
      <c r="K210" s="22"/>
      <c r="L210" s="22"/>
      <c r="M210" s="22"/>
      <c r="N210" s="22"/>
      <c r="O210" s="22">
        <f t="shared" ref="O210" si="52">O197</f>
        <v>0</v>
      </c>
      <c r="P210" s="22"/>
      <c r="Q210" s="22"/>
      <c r="R210" s="22"/>
      <c r="S210" s="22"/>
      <c r="T210" s="22"/>
      <c r="U210" s="22">
        <f>U197</f>
        <v>0</v>
      </c>
      <c r="V210" s="22"/>
      <c r="W210" s="22"/>
      <c r="X210" s="22"/>
      <c r="Y210" s="22"/>
      <c r="Z210" s="22"/>
      <c r="AA210" s="24">
        <f>AA197</f>
        <v>0</v>
      </c>
      <c r="AC210" s="21">
        <f>AC197</f>
        <v>21</v>
      </c>
      <c r="AD210" s="21"/>
    </row>
    <row r="211" spans="2:30" hidden="1" outlineLevel="1" x14ac:dyDescent="0.3">
      <c r="B211" s="27"/>
      <c r="C211" s="29"/>
      <c r="D211" s="21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4"/>
      <c r="AC211" s="21"/>
      <c r="AD211" s="21"/>
    </row>
    <row r="212" spans="2:30" ht="7.2" hidden="1" customHeight="1" outlineLevel="1" x14ac:dyDescent="0.3">
      <c r="B212" s="2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8"/>
    </row>
    <row r="213" spans="2:30" hidden="1" outlineLevel="1" x14ac:dyDescent="0.3">
      <c r="B213" s="27"/>
      <c r="C213" s="29" t="s">
        <v>38</v>
      </c>
      <c r="D213" s="21"/>
      <c r="E213" s="20" t="s">
        <v>39</v>
      </c>
      <c r="F213" s="20"/>
      <c r="G213" s="20"/>
      <c r="H213" s="20"/>
      <c r="I213" s="20" t="s">
        <v>41</v>
      </c>
      <c r="J213" s="20"/>
      <c r="K213" s="20"/>
      <c r="L213" s="20"/>
      <c r="M213" s="20"/>
      <c r="N213" s="20"/>
      <c r="O213" s="20" t="s">
        <v>42</v>
      </c>
      <c r="P213" s="20"/>
      <c r="Q213" s="20"/>
      <c r="R213" s="20"/>
      <c r="S213" s="20"/>
      <c r="T213" s="20"/>
      <c r="U213" s="20" t="s">
        <v>43</v>
      </c>
      <c r="V213" s="20"/>
      <c r="W213" s="20"/>
      <c r="X213" s="20"/>
      <c r="Y213" s="20"/>
      <c r="Z213" s="20"/>
      <c r="AA213" s="9" t="s">
        <v>36</v>
      </c>
      <c r="AC213" s="21" t="s">
        <v>46</v>
      </c>
      <c r="AD213" s="21"/>
    </row>
    <row r="214" spans="2:30" hidden="1" outlineLevel="1" x14ac:dyDescent="0.3">
      <c r="B214" s="27"/>
      <c r="C214" s="29"/>
      <c r="D214" s="21"/>
      <c r="E214" s="22">
        <f>E201</f>
        <v>0</v>
      </c>
      <c r="F214" s="22"/>
      <c r="G214" s="22"/>
      <c r="H214" s="22"/>
      <c r="I214" s="22">
        <f>I201</f>
        <v>0</v>
      </c>
      <c r="J214" s="22"/>
      <c r="K214" s="22"/>
      <c r="L214" s="22"/>
      <c r="M214" s="22"/>
      <c r="N214" s="22"/>
      <c r="O214" s="22">
        <f t="shared" ref="O214" si="53">O201</f>
        <v>0</v>
      </c>
      <c r="P214" s="22"/>
      <c r="Q214" s="22"/>
      <c r="R214" s="22"/>
      <c r="S214" s="22"/>
      <c r="T214" s="22"/>
      <c r="U214" s="22">
        <f t="shared" ref="U214" si="54">U201</f>
        <v>0</v>
      </c>
      <c r="V214" s="22"/>
      <c r="W214" s="22"/>
      <c r="X214" s="22"/>
      <c r="Y214" s="22"/>
      <c r="Z214" s="22"/>
      <c r="AA214" s="24">
        <f>AA201</f>
        <v>0</v>
      </c>
      <c r="AC214" s="26">
        <f>AC201</f>
        <v>20000</v>
      </c>
      <c r="AD214" s="26"/>
    </row>
    <row r="215" spans="2:30" ht="15" hidden="1" outlineLevel="1" thickBot="1" x14ac:dyDescent="0.35">
      <c r="B215" s="28"/>
      <c r="C215" s="30"/>
      <c r="D215" s="31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5"/>
      <c r="AC215" s="26"/>
      <c r="AD215" s="26"/>
    </row>
    <row r="216" spans="2:30" s="15" customFormat="1" collapsed="1" x14ac:dyDescent="0.3">
      <c r="B216" s="19"/>
      <c r="D216" s="16"/>
    </row>
    <row r="217" spans="2:30" ht="3.6" customHeight="1" thickBot="1" x14ac:dyDescent="0.35"/>
    <row r="218" spans="2:30" ht="16.8" customHeight="1" x14ac:dyDescent="0.3">
      <c r="B218" s="32" t="s">
        <v>0</v>
      </c>
      <c r="C218" s="34" t="s">
        <v>1</v>
      </c>
      <c r="D218" s="36" t="s">
        <v>27</v>
      </c>
      <c r="E218" s="38" t="s">
        <v>30</v>
      </c>
      <c r="F218" s="44" t="str">
        <f>$F$2</f>
        <v>Травень 2026р</v>
      </c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0" t="s">
        <v>33</v>
      </c>
      <c r="AC218" s="42" t="s">
        <v>47</v>
      </c>
      <c r="AD218" s="43"/>
    </row>
    <row r="219" spans="2:30" x14ac:dyDescent="0.3">
      <c r="B219" s="33"/>
      <c r="C219" s="35"/>
      <c r="D219" s="37"/>
      <c r="E219" s="39"/>
      <c r="F219" s="3" t="str">
        <f>$F$3</f>
        <v>ПТ</v>
      </c>
      <c r="G219" s="3" t="str">
        <f>$G$3</f>
        <v>ПН</v>
      </c>
      <c r="H219" s="3" t="str">
        <f>$H$3</f>
        <v>ВТ</v>
      </c>
      <c r="I219" s="3" t="str">
        <f>$I$3</f>
        <v>СР</v>
      </c>
      <c r="J219" s="3" t="str">
        <f>$J$3</f>
        <v>ЧТ</v>
      </c>
      <c r="K219" s="3" t="str">
        <f>$K$3</f>
        <v>ПТ</v>
      </c>
      <c r="L219" s="3" t="str">
        <f>$L$3</f>
        <v>ПН</v>
      </c>
      <c r="M219" s="3" t="str">
        <f>$M$3</f>
        <v>ВТ</v>
      </c>
      <c r="N219" s="3" t="str">
        <f>$N$3</f>
        <v>СР</v>
      </c>
      <c r="O219" s="3" t="str">
        <f>$O$3</f>
        <v>ЧТ</v>
      </c>
      <c r="P219" s="3" t="str">
        <f>$P$3</f>
        <v>ПТ</v>
      </c>
      <c r="Q219" s="3" t="str">
        <f>$Q$3</f>
        <v>ПН</v>
      </c>
      <c r="R219" s="3" t="str">
        <f>$R$3</f>
        <v>ВТ</v>
      </c>
      <c r="S219" s="3" t="str">
        <f>$S$3</f>
        <v>СР</v>
      </c>
      <c r="T219" s="3" t="str">
        <f>$T$3</f>
        <v>ЧТ</v>
      </c>
      <c r="U219" s="3" t="str">
        <f>$U$3</f>
        <v>ПТ</v>
      </c>
      <c r="V219" s="3" t="str">
        <f>$V$3</f>
        <v>ПН</v>
      </c>
      <c r="W219" s="3" t="str">
        <f>$W$3</f>
        <v>ВТ</v>
      </c>
      <c r="X219" s="3" t="str">
        <f>$X$3</f>
        <v>СР</v>
      </c>
      <c r="Y219" s="3" t="str">
        <f>$Y$3</f>
        <v>ЧТ</v>
      </c>
      <c r="Z219" s="3" t="str">
        <f>$Z$3</f>
        <v>ПТ</v>
      </c>
      <c r="AA219" s="41"/>
      <c r="AC219" s="11"/>
      <c r="AD219" s="12"/>
    </row>
    <row r="220" spans="2:30" x14ac:dyDescent="0.3">
      <c r="B220" s="33"/>
      <c r="C220" s="35"/>
      <c r="D220" s="37"/>
      <c r="E220" s="39"/>
      <c r="F220" s="3">
        <f>$F$4</f>
        <v>1</v>
      </c>
      <c r="G220" s="3">
        <f>$G$4</f>
        <v>4</v>
      </c>
      <c r="H220" s="3">
        <f>$H$4</f>
        <v>5</v>
      </c>
      <c r="I220" s="3">
        <f>$I$4</f>
        <v>6</v>
      </c>
      <c r="J220" s="3">
        <f>$J$4</f>
        <v>7</v>
      </c>
      <c r="K220" s="3">
        <f>$K$4</f>
        <v>8</v>
      </c>
      <c r="L220" s="3">
        <f>$L$4</f>
        <v>11</v>
      </c>
      <c r="M220" s="3">
        <f>$M$4</f>
        <v>12</v>
      </c>
      <c r="N220" s="3">
        <f>$N$4</f>
        <v>13</v>
      </c>
      <c r="O220" s="3">
        <f>$O$4</f>
        <v>14</v>
      </c>
      <c r="P220" s="3">
        <f>$P$4</f>
        <v>15</v>
      </c>
      <c r="Q220" s="3">
        <f>$Q$4</f>
        <v>18</v>
      </c>
      <c r="R220" s="3">
        <f>$R$4</f>
        <v>19</v>
      </c>
      <c r="S220" s="3">
        <f>$S$4</f>
        <v>20</v>
      </c>
      <c r="T220" s="3">
        <f>$T$4</f>
        <v>21</v>
      </c>
      <c r="U220" s="3">
        <f>$U$4</f>
        <v>22</v>
      </c>
      <c r="V220" s="3">
        <f>$V$4</f>
        <v>25</v>
      </c>
      <c r="W220" s="3">
        <f>$W$4</f>
        <v>26</v>
      </c>
      <c r="X220" s="3">
        <f>$X$4</f>
        <v>27</v>
      </c>
      <c r="Y220" s="3">
        <f>$Y$4</f>
        <v>28</v>
      </c>
      <c r="Z220" s="3">
        <f>$Z$4</f>
        <v>29</v>
      </c>
      <c r="AA220" s="41"/>
      <c r="AC220" s="11"/>
      <c r="AD220" s="12"/>
    </row>
    <row r="221" spans="2:30" x14ac:dyDescent="0.3">
      <c r="B221" s="27" t="s">
        <v>18</v>
      </c>
      <c r="C221" s="4" t="s">
        <v>9</v>
      </c>
      <c r="D221" s="17" t="s">
        <v>28</v>
      </c>
      <c r="E221" s="10">
        <f>AC228/AC224/8</f>
        <v>119.04761904761905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5">
        <f>SUM(F221:Z221)</f>
        <v>0</v>
      </c>
      <c r="AC221" s="13"/>
      <c r="AD221" s="14"/>
    </row>
    <row r="222" spans="2:30" ht="4.8" customHeight="1" x14ac:dyDescent="0.3">
      <c r="B222" s="2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8"/>
    </row>
    <row r="223" spans="2:30" x14ac:dyDescent="0.3">
      <c r="B223" s="27"/>
      <c r="C223" s="29" t="s">
        <v>37</v>
      </c>
      <c r="D223" s="21"/>
      <c r="E223" s="20" t="s">
        <v>31</v>
      </c>
      <c r="F223" s="20"/>
      <c r="G223" s="20"/>
      <c r="H223" s="20"/>
      <c r="I223" s="20" t="s">
        <v>40</v>
      </c>
      <c r="J223" s="20"/>
      <c r="K223" s="20"/>
      <c r="L223" s="20"/>
      <c r="M223" s="20"/>
      <c r="N223" s="20"/>
      <c r="O223" s="20" t="s">
        <v>34</v>
      </c>
      <c r="P223" s="20"/>
      <c r="Q223" s="20"/>
      <c r="R223" s="20"/>
      <c r="S223" s="20"/>
      <c r="T223" s="20"/>
      <c r="U223" s="20" t="s">
        <v>35</v>
      </c>
      <c r="V223" s="20"/>
      <c r="W223" s="20"/>
      <c r="X223" s="20"/>
      <c r="Y223" s="20"/>
      <c r="Z223" s="20"/>
      <c r="AA223" s="9" t="s">
        <v>36</v>
      </c>
      <c r="AC223" s="21" t="s">
        <v>45</v>
      </c>
      <c r="AD223" s="21"/>
    </row>
    <row r="224" spans="2:30" x14ac:dyDescent="0.3">
      <c r="B224" s="27"/>
      <c r="C224" s="29"/>
      <c r="D224" s="21"/>
      <c r="E224" s="22">
        <f>E221*AA221</f>
        <v>0</v>
      </c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4">
        <f>E224+I224+O224-U224</f>
        <v>0</v>
      </c>
      <c r="AC224" s="21">
        <f>$AC$8</f>
        <v>21</v>
      </c>
      <c r="AD224" s="21"/>
    </row>
    <row r="225" spans="2:30" x14ac:dyDescent="0.3">
      <c r="B225" s="27"/>
      <c r="C225" s="29"/>
      <c r="D225" s="21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4"/>
      <c r="AC225" s="21"/>
      <c r="AD225" s="21"/>
    </row>
    <row r="226" spans="2:30" ht="4.8" customHeight="1" x14ac:dyDescent="0.3">
      <c r="B226" s="2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8"/>
    </row>
    <row r="227" spans="2:30" x14ac:dyDescent="0.3">
      <c r="B227" s="27"/>
      <c r="C227" s="29" t="s">
        <v>38</v>
      </c>
      <c r="D227" s="21"/>
      <c r="E227" s="20" t="s">
        <v>39</v>
      </c>
      <c r="F227" s="20"/>
      <c r="G227" s="20"/>
      <c r="H227" s="20"/>
      <c r="I227" s="20" t="s">
        <v>41</v>
      </c>
      <c r="J227" s="20"/>
      <c r="K227" s="20"/>
      <c r="L227" s="20"/>
      <c r="M227" s="20"/>
      <c r="N227" s="20"/>
      <c r="O227" s="20" t="s">
        <v>42</v>
      </c>
      <c r="P227" s="20"/>
      <c r="Q227" s="20"/>
      <c r="R227" s="20"/>
      <c r="S227" s="20"/>
      <c r="T227" s="20"/>
      <c r="U227" s="20" t="s">
        <v>43</v>
      </c>
      <c r="V227" s="20"/>
      <c r="W227" s="20"/>
      <c r="X227" s="20"/>
      <c r="Y227" s="20"/>
      <c r="Z227" s="20"/>
      <c r="AA227" s="9" t="s">
        <v>36</v>
      </c>
      <c r="AC227" s="21" t="s">
        <v>46</v>
      </c>
      <c r="AD227" s="21"/>
    </row>
    <row r="228" spans="2:30" x14ac:dyDescent="0.3">
      <c r="B228" s="27"/>
      <c r="C228" s="29"/>
      <c r="D228" s="21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4">
        <f>E228+I228+O228+U228</f>
        <v>0</v>
      </c>
      <c r="AC228" s="26">
        <v>20000</v>
      </c>
      <c r="AD228" s="26"/>
    </row>
    <row r="229" spans="2:30" ht="15" thickBot="1" x14ac:dyDescent="0.35">
      <c r="B229" s="28"/>
      <c r="C229" s="30"/>
      <c r="D229" s="31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5"/>
      <c r="AC229" s="26"/>
      <c r="AD229" s="26"/>
    </row>
    <row r="230" spans="2:30" ht="55.2" hidden="1" customHeight="1" outlineLevel="1" thickBot="1" x14ac:dyDescent="0.35"/>
    <row r="231" spans="2:30" ht="16.8" hidden="1" customHeight="1" outlineLevel="1" x14ac:dyDescent="0.3">
      <c r="B231" s="32" t="s">
        <v>0</v>
      </c>
      <c r="C231" s="34" t="s">
        <v>1</v>
      </c>
      <c r="D231" s="36" t="s">
        <v>27</v>
      </c>
      <c r="E231" s="38" t="s">
        <v>30</v>
      </c>
      <c r="F231" s="34" t="str">
        <f>F218</f>
        <v>Травень 2026р</v>
      </c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40" t="s">
        <v>33</v>
      </c>
    </row>
    <row r="232" spans="2:30" hidden="1" outlineLevel="1" x14ac:dyDescent="0.3">
      <c r="B232" s="33"/>
      <c r="C232" s="35"/>
      <c r="D232" s="37"/>
      <c r="E232" s="39"/>
      <c r="F232" s="3" t="str">
        <f>F219</f>
        <v>ПТ</v>
      </c>
      <c r="G232" s="3" t="str">
        <f t="shared" ref="G232:Z232" si="55">G219</f>
        <v>ПН</v>
      </c>
      <c r="H232" s="3" t="str">
        <f t="shared" si="55"/>
        <v>ВТ</v>
      </c>
      <c r="I232" s="3" t="str">
        <f t="shared" si="55"/>
        <v>СР</v>
      </c>
      <c r="J232" s="3" t="str">
        <f t="shared" si="55"/>
        <v>ЧТ</v>
      </c>
      <c r="K232" s="3" t="str">
        <f t="shared" si="55"/>
        <v>ПТ</v>
      </c>
      <c r="L232" s="3" t="str">
        <f t="shared" si="55"/>
        <v>ПН</v>
      </c>
      <c r="M232" s="3" t="str">
        <f t="shared" si="55"/>
        <v>ВТ</v>
      </c>
      <c r="N232" s="3" t="str">
        <f t="shared" si="55"/>
        <v>СР</v>
      </c>
      <c r="O232" s="3" t="str">
        <f t="shared" si="55"/>
        <v>ЧТ</v>
      </c>
      <c r="P232" s="3" t="str">
        <f t="shared" si="55"/>
        <v>ПТ</v>
      </c>
      <c r="Q232" s="3" t="str">
        <f t="shared" si="55"/>
        <v>ПН</v>
      </c>
      <c r="R232" s="3" t="str">
        <f t="shared" si="55"/>
        <v>ВТ</v>
      </c>
      <c r="S232" s="3" t="str">
        <f t="shared" si="55"/>
        <v>СР</v>
      </c>
      <c r="T232" s="3" t="str">
        <f t="shared" si="55"/>
        <v>ЧТ</v>
      </c>
      <c r="U232" s="3" t="str">
        <f t="shared" si="55"/>
        <v>ПТ</v>
      </c>
      <c r="V232" s="3" t="str">
        <f t="shared" si="55"/>
        <v>ПН</v>
      </c>
      <c r="W232" s="3" t="str">
        <f t="shared" si="55"/>
        <v>ВТ</v>
      </c>
      <c r="X232" s="3" t="str">
        <f t="shared" si="55"/>
        <v>СР</v>
      </c>
      <c r="Y232" s="3" t="str">
        <f t="shared" si="55"/>
        <v>ЧТ</v>
      </c>
      <c r="Z232" s="3" t="str">
        <f t="shared" si="55"/>
        <v>ПТ</v>
      </c>
      <c r="AA232" s="41"/>
    </row>
    <row r="233" spans="2:30" hidden="1" outlineLevel="1" x14ac:dyDescent="0.3">
      <c r="B233" s="33"/>
      <c r="C233" s="35"/>
      <c r="D233" s="37"/>
      <c r="E233" s="39"/>
      <c r="F233" s="3">
        <f>F220</f>
        <v>1</v>
      </c>
      <c r="G233" s="3">
        <f t="shared" ref="G233:X233" si="56">G220</f>
        <v>4</v>
      </c>
      <c r="H233" s="3">
        <f t="shared" si="56"/>
        <v>5</v>
      </c>
      <c r="I233" s="3">
        <f t="shared" si="56"/>
        <v>6</v>
      </c>
      <c r="J233" s="3">
        <f t="shared" si="56"/>
        <v>7</v>
      </c>
      <c r="K233" s="3">
        <f t="shared" si="56"/>
        <v>8</v>
      </c>
      <c r="L233" s="3">
        <f t="shared" si="56"/>
        <v>11</v>
      </c>
      <c r="M233" s="3">
        <f t="shared" si="56"/>
        <v>12</v>
      </c>
      <c r="N233" s="3">
        <f t="shared" si="56"/>
        <v>13</v>
      </c>
      <c r="O233" s="3">
        <f t="shared" si="56"/>
        <v>14</v>
      </c>
      <c r="P233" s="3">
        <f t="shared" si="56"/>
        <v>15</v>
      </c>
      <c r="Q233" s="3">
        <f t="shared" si="56"/>
        <v>18</v>
      </c>
      <c r="R233" s="3">
        <f t="shared" si="56"/>
        <v>19</v>
      </c>
      <c r="S233" s="3">
        <f t="shared" si="56"/>
        <v>20</v>
      </c>
      <c r="T233" s="3">
        <f t="shared" si="56"/>
        <v>21</v>
      </c>
      <c r="U233" s="3">
        <f t="shared" si="56"/>
        <v>22</v>
      </c>
      <c r="V233" s="3">
        <f t="shared" si="56"/>
        <v>25</v>
      </c>
      <c r="W233" s="3">
        <f t="shared" si="56"/>
        <v>26</v>
      </c>
      <c r="X233" s="3">
        <f t="shared" si="56"/>
        <v>27</v>
      </c>
      <c r="Y233" s="3">
        <f>Y220</f>
        <v>28</v>
      </c>
      <c r="Z233" s="3">
        <f t="shared" ref="Z233" si="57">Z220</f>
        <v>29</v>
      </c>
      <c r="AA233" s="41"/>
    </row>
    <row r="234" spans="2:30" hidden="1" outlineLevel="1" x14ac:dyDescent="0.3">
      <c r="B234" s="27" t="str">
        <f>B221</f>
        <v>Курдій Марія</v>
      </c>
      <c r="C234" s="4" t="str">
        <f>C221</f>
        <v>оператор устаткування</v>
      </c>
      <c r="D234" s="3" t="str">
        <f>D221</f>
        <v>Так</v>
      </c>
      <c r="E234" s="10">
        <f>E221</f>
        <v>119.04761904761905</v>
      </c>
      <c r="F234" s="3">
        <f>F221</f>
        <v>0</v>
      </c>
      <c r="G234" s="3">
        <f t="shared" ref="G234:Z234" si="58">G221</f>
        <v>0</v>
      </c>
      <c r="H234" s="3">
        <f t="shared" si="58"/>
        <v>0</v>
      </c>
      <c r="I234" s="3">
        <f t="shared" si="58"/>
        <v>0</v>
      </c>
      <c r="J234" s="3">
        <f t="shared" si="58"/>
        <v>0</v>
      </c>
      <c r="K234" s="3">
        <f t="shared" si="58"/>
        <v>0</v>
      </c>
      <c r="L234" s="3">
        <f t="shared" si="58"/>
        <v>0</v>
      </c>
      <c r="M234" s="3">
        <f t="shared" si="58"/>
        <v>0</v>
      </c>
      <c r="N234" s="3">
        <f t="shared" si="58"/>
        <v>0</v>
      </c>
      <c r="O234" s="3">
        <f t="shared" si="58"/>
        <v>0</v>
      </c>
      <c r="P234" s="3">
        <f t="shared" si="58"/>
        <v>0</v>
      </c>
      <c r="Q234" s="3">
        <f t="shared" si="58"/>
        <v>0</v>
      </c>
      <c r="R234" s="3">
        <f t="shared" si="58"/>
        <v>0</v>
      </c>
      <c r="S234" s="3">
        <f t="shared" si="58"/>
        <v>0</v>
      </c>
      <c r="T234" s="3">
        <f t="shared" si="58"/>
        <v>0</v>
      </c>
      <c r="U234" s="3">
        <f t="shared" si="58"/>
        <v>0</v>
      </c>
      <c r="V234" s="3">
        <f t="shared" si="58"/>
        <v>0</v>
      </c>
      <c r="W234" s="3">
        <f t="shared" si="58"/>
        <v>0</v>
      </c>
      <c r="X234" s="3">
        <f t="shared" si="58"/>
        <v>0</v>
      </c>
      <c r="Y234" s="3">
        <f t="shared" si="58"/>
        <v>0</v>
      </c>
      <c r="Z234" s="3">
        <f t="shared" si="58"/>
        <v>0</v>
      </c>
      <c r="AA234" s="5">
        <f>AA221</f>
        <v>0</v>
      </c>
    </row>
    <row r="235" spans="2:30" ht="7.8" hidden="1" customHeight="1" outlineLevel="1" x14ac:dyDescent="0.3">
      <c r="B235" s="2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8"/>
    </row>
    <row r="236" spans="2:30" hidden="1" outlineLevel="1" x14ac:dyDescent="0.3">
      <c r="B236" s="27"/>
      <c r="C236" s="29" t="s">
        <v>37</v>
      </c>
      <c r="D236" s="21"/>
      <c r="E236" s="20" t="s">
        <v>31</v>
      </c>
      <c r="F236" s="20"/>
      <c r="G236" s="20"/>
      <c r="H236" s="20"/>
      <c r="I236" s="20" t="s">
        <v>40</v>
      </c>
      <c r="J236" s="20"/>
      <c r="K236" s="20"/>
      <c r="L236" s="20"/>
      <c r="M236" s="20"/>
      <c r="N236" s="20"/>
      <c r="O236" s="20" t="s">
        <v>34</v>
      </c>
      <c r="P236" s="20"/>
      <c r="Q236" s="20"/>
      <c r="R236" s="20"/>
      <c r="S236" s="20"/>
      <c r="T236" s="20"/>
      <c r="U236" s="20" t="s">
        <v>35</v>
      </c>
      <c r="V236" s="20"/>
      <c r="W236" s="20"/>
      <c r="X236" s="20"/>
      <c r="Y236" s="20"/>
      <c r="Z236" s="20"/>
      <c r="AA236" s="9" t="s">
        <v>36</v>
      </c>
      <c r="AC236" s="21" t="s">
        <v>45</v>
      </c>
      <c r="AD236" s="21"/>
    </row>
    <row r="237" spans="2:30" hidden="1" outlineLevel="1" x14ac:dyDescent="0.3">
      <c r="B237" s="27"/>
      <c r="C237" s="29"/>
      <c r="D237" s="21"/>
      <c r="E237" s="22">
        <f>E224</f>
        <v>0</v>
      </c>
      <c r="F237" s="22"/>
      <c r="G237" s="22"/>
      <c r="H237" s="22"/>
      <c r="I237" s="22">
        <f>I224</f>
        <v>0</v>
      </c>
      <c r="J237" s="22"/>
      <c r="K237" s="22"/>
      <c r="L237" s="22"/>
      <c r="M237" s="22"/>
      <c r="N237" s="22"/>
      <c r="O237" s="22">
        <f t="shared" ref="O237" si="59">O224</f>
        <v>0</v>
      </c>
      <c r="P237" s="22"/>
      <c r="Q237" s="22"/>
      <c r="R237" s="22"/>
      <c r="S237" s="22"/>
      <c r="T237" s="22"/>
      <c r="U237" s="22">
        <f>U224</f>
        <v>0</v>
      </c>
      <c r="V237" s="22"/>
      <c r="W237" s="22"/>
      <c r="X237" s="22"/>
      <c r="Y237" s="22"/>
      <c r="Z237" s="22"/>
      <c r="AA237" s="24">
        <f>AA224</f>
        <v>0</v>
      </c>
      <c r="AC237" s="21">
        <f>AC224</f>
        <v>21</v>
      </c>
      <c r="AD237" s="21"/>
    </row>
    <row r="238" spans="2:30" hidden="1" outlineLevel="1" x14ac:dyDescent="0.3">
      <c r="B238" s="27"/>
      <c r="C238" s="29"/>
      <c r="D238" s="21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4"/>
      <c r="AC238" s="21"/>
      <c r="AD238" s="21"/>
    </row>
    <row r="239" spans="2:30" ht="7.2" hidden="1" customHeight="1" outlineLevel="1" x14ac:dyDescent="0.3">
      <c r="B239" s="2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8"/>
    </row>
    <row r="240" spans="2:30" hidden="1" outlineLevel="1" x14ac:dyDescent="0.3">
      <c r="B240" s="27"/>
      <c r="C240" s="29" t="s">
        <v>38</v>
      </c>
      <c r="D240" s="21"/>
      <c r="E240" s="20" t="s">
        <v>39</v>
      </c>
      <c r="F240" s="20"/>
      <c r="G240" s="20"/>
      <c r="H240" s="20"/>
      <c r="I240" s="20" t="s">
        <v>41</v>
      </c>
      <c r="J240" s="20"/>
      <c r="K240" s="20"/>
      <c r="L240" s="20"/>
      <c r="M240" s="20"/>
      <c r="N240" s="20"/>
      <c r="O240" s="20" t="s">
        <v>42</v>
      </c>
      <c r="P240" s="20"/>
      <c r="Q240" s="20"/>
      <c r="R240" s="20"/>
      <c r="S240" s="20"/>
      <c r="T240" s="20"/>
      <c r="U240" s="20" t="s">
        <v>43</v>
      </c>
      <c r="V240" s="20"/>
      <c r="W240" s="20"/>
      <c r="X240" s="20"/>
      <c r="Y240" s="20"/>
      <c r="Z240" s="20"/>
      <c r="AA240" s="9" t="s">
        <v>36</v>
      </c>
      <c r="AC240" s="21" t="s">
        <v>46</v>
      </c>
      <c r="AD240" s="21"/>
    </row>
    <row r="241" spans="2:30" hidden="1" outlineLevel="1" x14ac:dyDescent="0.3">
      <c r="B241" s="27"/>
      <c r="C241" s="29"/>
      <c r="D241" s="21"/>
      <c r="E241" s="22">
        <f>E228</f>
        <v>0</v>
      </c>
      <c r="F241" s="22"/>
      <c r="G241" s="22"/>
      <c r="H241" s="22"/>
      <c r="I241" s="22">
        <f>I228</f>
        <v>0</v>
      </c>
      <c r="J241" s="22"/>
      <c r="K241" s="22"/>
      <c r="L241" s="22"/>
      <c r="M241" s="22"/>
      <c r="N241" s="22"/>
      <c r="O241" s="22">
        <f t="shared" ref="O241" si="60">O228</f>
        <v>0</v>
      </c>
      <c r="P241" s="22"/>
      <c r="Q241" s="22"/>
      <c r="R241" s="22"/>
      <c r="S241" s="22"/>
      <c r="T241" s="22"/>
      <c r="U241" s="22">
        <f t="shared" ref="U241" si="61">U228</f>
        <v>0</v>
      </c>
      <c r="V241" s="22"/>
      <c r="W241" s="22"/>
      <c r="X241" s="22"/>
      <c r="Y241" s="22"/>
      <c r="Z241" s="22"/>
      <c r="AA241" s="24">
        <f>AA228</f>
        <v>0</v>
      </c>
      <c r="AC241" s="26">
        <f>AC228</f>
        <v>20000</v>
      </c>
      <c r="AD241" s="26"/>
    </row>
    <row r="242" spans="2:30" ht="15" hidden="1" outlineLevel="1" thickBot="1" x14ac:dyDescent="0.35">
      <c r="B242" s="28"/>
      <c r="C242" s="30"/>
      <c r="D242" s="31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5"/>
      <c r="AC242" s="26"/>
      <c r="AD242" s="26"/>
    </row>
    <row r="243" spans="2:30" s="15" customFormat="1" collapsed="1" x14ac:dyDescent="0.3">
      <c r="B243" s="19"/>
      <c r="D243" s="16"/>
    </row>
    <row r="244" spans="2:30" ht="3.6" customHeight="1" thickBot="1" x14ac:dyDescent="0.35"/>
    <row r="245" spans="2:30" ht="16.8" customHeight="1" x14ac:dyDescent="0.3">
      <c r="B245" s="32" t="s">
        <v>0</v>
      </c>
      <c r="C245" s="34" t="s">
        <v>1</v>
      </c>
      <c r="D245" s="36" t="s">
        <v>27</v>
      </c>
      <c r="E245" s="38" t="s">
        <v>30</v>
      </c>
      <c r="F245" s="44" t="str">
        <f>$F$2</f>
        <v>Травень 2026р</v>
      </c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0" t="s">
        <v>33</v>
      </c>
      <c r="AC245" s="42" t="s">
        <v>47</v>
      </c>
      <c r="AD245" s="43"/>
    </row>
    <row r="246" spans="2:30" x14ac:dyDescent="0.3">
      <c r="B246" s="33"/>
      <c r="C246" s="35"/>
      <c r="D246" s="37"/>
      <c r="E246" s="39"/>
      <c r="F246" s="3" t="str">
        <f>$F$3</f>
        <v>ПТ</v>
      </c>
      <c r="G246" s="3" t="str">
        <f>$G$3</f>
        <v>ПН</v>
      </c>
      <c r="H246" s="3" t="str">
        <f>$H$3</f>
        <v>ВТ</v>
      </c>
      <c r="I246" s="3" t="str">
        <f>$I$3</f>
        <v>СР</v>
      </c>
      <c r="J246" s="3" t="str">
        <f>$J$3</f>
        <v>ЧТ</v>
      </c>
      <c r="K246" s="3" t="str">
        <f>$K$3</f>
        <v>ПТ</v>
      </c>
      <c r="L246" s="3" t="str">
        <f>$L$3</f>
        <v>ПН</v>
      </c>
      <c r="M246" s="3" t="str">
        <f>$M$3</f>
        <v>ВТ</v>
      </c>
      <c r="N246" s="3" t="str">
        <f>$N$3</f>
        <v>СР</v>
      </c>
      <c r="O246" s="3" t="str">
        <f>$O$3</f>
        <v>ЧТ</v>
      </c>
      <c r="P246" s="3" t="str">
        <f>$P$3</f>
        <v>ПТ</v>
      </c>
      <c r="Q246" s="3" t="str">
        <f>$Q$3</f>
        <v>ПН</v>
      </c>
      <c r="R246" s="3" t="str">
        <f>$R$3</f>
        <v>ВТ</v>
      </c>
      <c r="S246" s="3" t="str">
        <f>$S$3</f>
        <v>СР</v>
      </c>
      <c r="T246" s="3" t="str">
        <f>$T$3</f>
        <v>ЧТ</v>
      </c>
      <c r="U246" s="3" t="str">
        <f>$U$3</f>
        <v>ПТ</v>
      </c>
      <c r="V246" s="3" t="str">
        <f>$V$3</f>
        <v>ПН</v>
      </c>
      <c r="W246" s="3" t="str">
        <f>$W$3</f>
        <v>ВТ</v>
      </c>
      <c r="X246" s="3" t="str">
        <f>$X$3</f>
        <v>СР</v>
      </c>
      <c r="Y246" s="3" t="str">
        <f>$Y$3</f>
        <v>ЧТ</v>
      </c>
      <c r="Z246" s="3" t="str">
        <f>$Z$3</f>
        <v>ПТ</v>
      </c>
      <c r="AA246" s="41"/>
      <c r="AC246" s="11"/>
      <c r="AD246" s="12"/>
    </row>
    <row r="247" spans="2:30" x14ac:dyDescent="0.3">
      <c r="B247" s="33"/>
      <c r="C247" s="35"/>
      <c r="D247" s="37"/>
      <c r="E247" s="39"/>
      <c r="F247" s="3">
        <f>$F$4</f>
        <v>1</v>
      </c>
      <c r="G247" s="3">
        <f>$G$4</f>
        <v>4</v>
      </c>
      <c r="H247" s="3">
        <f>$H$4</f>
        <v>5</v>
      </c>
      <c r="I247" s="3">
        <f>$I$4</f>
        <v>6</v>
      </c>
      <c r="J247" s="3">
        <f>$J$4</f>
        <v>7</v>
      </c>
      <c r="K247" s="3">
        <f>$K$4</f>
        <v>8</v>
      </c>
      <c r="L247" s="3">
        <f>$L$4</f>
        <v>11</v>
      </c>
      <c r="M247" s="3">
        <f>$M$4</f>
        <v>12</v>
      </c>
      <c r="N247" s="3">
        <f>$N$4</f>
        <v>13</v>
      </c>
      <c r="O247" s="3">
        <f>$O$4</f>
        <v>14</v>
      </c>
      <c r="P247" s="3">
        <f>$P$4</f>
        <v>15</v>
      </c>
      <c r="Q247" s="3">
        <f>$Q$4</f>
        <v>18</v>
      </c>
      <c r="R247" s="3">
        <f>$R$4</f>
        <v>19</v>
      </c>
      <c r="S247" s="3">
        <f>$S$4</f>
        <v>20</v>
      </c>
      <c r="T247" s="3">
        <f>$T$4</f>
        <v>21</v>
      </c>
      <c r="U247" s="3">
        <f>$U$4</f>
        <v>22</v>
      </c>
      <c r="V247" s="3">
        <f>$V$4</f>
        <v>25</v>
      </c>
      <c r="W247" s="3">
        <f>$W$4</f>
        <v>26</v>
      </c>
      <c r="X247" s="3">
        <f>$X$4</f>
        <v>27</v>
      </c>
      <c r="Y247" s="3">
        <f>$Y$4</f>
        <v>28</v>
      </c>
      <c r="Z247" s="3">
        <f>$Z$4</f>
        <v>29</v>
      </c>
      <c r="AA247" s="41"/>
      <c r="AC247" s="11"/>
      <c r="AD247" s="12"/>
    </row>
    <row r="248" spans="2:30" x14ac:dyDescent="0.3">
      <c r="B248" s="27" t="s">
        <v>19</v>
      </c>
      <c r="C248" s="4" t="s">
        <v>44</v>
      </c>
      <c r="D248" s="17" t="s">
        <v>28</v>
      </c>
      <c r="E248" s="10">
        <f>AC255/AC251/8</f>
        <v>122.02380952380952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5">
        <f>SUM(F248:Z248)</f>
        <v>0</v>
      </c>
      <c r="AC248" s="13"/>
      <c r="AD248" s="14"/>
    </row>
    <row r="249" spans="2:30" ht="4.8" customHeight="1" x14ac:dyDescent="0.3">
      <c r="B249" s="2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8"/>
    </row>
    <row r="250" spans="2:30" x14ac:dyDescent="0.3">
      <c r="B250" s="27"/>
      <c r="C250" s="29" t="s">
        <v>37</v>
      </c>
      <c r="D250" s="21"/>
      <c r="E250" s="20" t="s">
        <v>31</v>
      </c>
      <c r="F250" s="20"/>
      <c r="G250" s="20"/>
      <c r="H250" s="20"/>
      <c r="I250" s="20" t="s">
        <v>40</v>
      </c>
      <c r="J250" s="20"/>
      <c r="K250" s="20"/>
      <c r="L250" s="20"/>
      <c r="M250" s="20"/>
      <c r="N250" s="20"/>
      <c r="O250" s="20" t="s">
        <v>34</v>
      </c>
      <c r="P250" s="20"/>
      <c r="Q250" s="20"/>
      <c r="R250" s="20"/>
      <c r="S250" s="20"/>
      <c r="T250" s="20"/>
      <c r="U250" s="20" t="s">
        <v>35</v>
      </c>
      <c r="V250" s="20"/>
      <c r="W250" s="20"/>
      <c r="X250" s="20"/>
      <c r="Y250" s="20"/>
      <c r="Z250" s="20"/>
      <c r="AA250" s="9" t="s">
        <v>36</v>
      </c>
      <c r="AC250" s="21" t="s">
        <v>45</v>
      </c>
      <c r="AD250" s="21"/>
    </row>
    <row r="251" spans="2:30" x14ac:dyDescent="0.3">
      <c r="B251" s="27"/>
      <c r="C251" s="29"/>
      <c r="D251" s="21"/>
      <c r="E251" s="22">
        <f>E248*AA248</f>
        <v>0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4">
        <f>E251+I251+O251-U251</f>
        <v>0</v>
      </c>
      <c r="AC251" s="21">
        <f>$AC$8</f>
        <v>21</v>
      </c>
      <c r="AD251" s="21"/>
    </row>
    <row r="252" spans="2:30" x14ac:dyDescent="0.3">
      <c r="B252" s="27"/>
      <c r="C252" s="29"/>
      <c r="D252" s="21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4"/>
      <c r="AC252" s="21"/>
      <c r="AD252" s="21"/>
    </row>
    <row r="253" spans="2:30" ht="4.8" customHeight="1" x14ac:dyDescent="0.3">
      <c r="B253" s="2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8"/>
    </row>
    <row r="254" spans="2:30" x14ac:dyDescent="0.3">
      <c r="B254" s="27"/>
      <c r="C254" s="29" t="s">
        <v>38</v>
      </c>
      <c r="D254" s="21"/>
      <c r="E254" s="20" t="s">
        <v>39</v>
      </c>
      <c r="F254" s="20"/>
      <c r="G254" s="20"/>
      <c r="H254" s="20"/>
      <c r="I254" s="20" t="s">
        <v>41</v>
      </c>
      <c r="J254" s="20"/>
      <c r="K254" s="20"/>
      <c r="L254" s="20"/>
      <c r="M254" s="20"/>
      <c r="N254" s="20"/>
      <c r="O254" s="20" t="s">
        <v>42</v>
      </c>
      <c r="P254" s="20"/>
      <c r="Q254" s="20"/>
      <c r="R254" s="20"/>
      <c r="S254" s="20"/>
      <c r="T254" s="20"/>
      <c r="U254" s="20" t="s">
        <v>43</v>
      </c>
      <c r="V254" s="20"/>
      <c r="W254" s="20"/>
      <c r="X254" s="20"/>
      <c r="Y254" s="20"/>
      <c r="Z254" s="20"/>
      <c r="AA254" s="9" t="s">
        <v>36</v>
      </c>
      <c r="AC254" s="21" t="s">
        <v>46</v>
      </c>
      <c r="AD254" s="21"/>
    </row>
    <row r="255" spans="2:30" x14ac:dyDescent="0.3">
      <c r="B255" s="27"/>
      <c r="C255" s="29"/>
      <c r="D255" s="21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4">
        <f>E255+I255+O255+U255</f>
        <v>0</v>
      </c>
      <c r="AC255" s="26">
        <v>20500</v>
      </c>
      <c r="AD255" s="26"/>
    </row>
    <row r="256" spans="2:30" ht="15" thickBot="1" x14ac:dyDescent="0.35">
      <c r="B256" s="28"/>
      <c r="C256" s="30"/>
      <c r="D256" s="31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5"/>
      <c r="AC256" s="26"/>
      <c r="AD256" s="26"/>
    </row>
    <row r="257" spans="2:30" ht="55.2" hidden="1" customHeight="1" outlineLevel="1" thickBot="1" x14ac:dyDescent="0.35"/>
    <row r="258" spans="2:30" ht="16.8" hidden="1" customHeight="1" outlineLevel="1" x14ac:dyDescent="0.3">
      <c r="B258" s="32" t="s">
        <v>0</v>
      </c>
      <c r="C258" s="34" t="s">
        <v>1</v>
      </c>
      <c r="D258" s="36" t="s">
        <v>27</v>
      </c>
      <c r="E258" s="38" t="s">
        <v>30</v>
      </c>
      <c r="F258" s="34" t="str">
        <f>F245</f>
        <v>Травень 2026р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40" t="s">
        <v>33</v>
      </c>
    </row>
    <row r="259" spans="2:30" hidden="1" outlineLevel="1" x14ac:dyDescent="0.3">
      <c r="B259" s="33"/>
      <c r="C259" s="35"/>
      <c r="D259" s="37"/>
      <c r="E259" s="39"/>
      <c r="F259" s="3" t="str">
        <f>F246</f>
        <v>ПТ</v>
      </c>
      <c r="G259" s="3" t="str">
        <f t="shared" ref="G259:Z259" si="62">G246</f>
        <v>ПН</v>
      </c>
      <c r="H259" s="3" t="str">
        <f t="shared" si="62"/>
        <v>ВТ</v>
      </c>
      <c r="I259" s="3" t="str">
        <f t="shared" si="62"/>
        <v>СР</v>
      </c>
      <c r="J259" s="3" t="str">
        <f t="shared" si="62"/>
        <v>ЧТ</v>
      </c>
      <c r="K259" s="3" t="str">
        <f t="shared" si="62"/>
        <v>ПТ</v>
      </c>
      <c r="L259" s="3" t="str">
        <f t="shared" si="62"/>
        <v>ПН</v>
      </c>
      <c r="M259" s="3" t="str">
        <f t="shared" si="62"/>
        <v>ВТ</v>
      </c>
      <c r="N259" s="3" t="str">
        <f t="shared" si="62"/>
        <v>СР</v>
      </c>
      <c r="O259" s="3" t="str">
        <f t="shared" si="62"/>
        <v>ЧТ</v>
      </c>
      <c r="P259" s="3" t="str">
        <f t="shared" si="62"/>
        <v>ПТ</v>
      </c>
      <c r="Q259" s="3" t="str">
        <f t="shared" si="62"/>
        <v>ПН</v>
      </c>
      <c r="R259" s="3" t="str">
        <f t="shared" si="62"/>
        <v>ВТ</v>
      </c>
      <c r="S259" s="3" t="str">
        <f t="shared" si="62"/>
        <v>СР</v>
      </c>
      <c r="T259" s="3" t="str">
        <f t="shared" si="62"/>
        <v>ЧТ</v>
      </c>
      <c r="U259" s="3" t="str">
        <f t="shared" si="62"/>
        <v>ПТ</v>
      </c>
      <c r="V259" s="3" t="str">
        <f t="shared" si="62"/>
        <v>ПН</v>
      </c>
      <c r="W259" s="3" t="str">
        <f t="shared" si="62"/>
        <v>ВТ</v>
      </c>
      <c r="X259" s="3" t="str">
        <f t="shared" si="62"/>
        <v>СР</v>
      </c>
      <c r="Y259" s="3" t="str">
        <f t="shared" si="62"/>
        <v>ЧТ</v>
      </c>
      <c r="Z259" s="3" t="str">
        <f t="shared" si="62"/>
        <v>ПТ</v>
      </c>
      <c r="AA259" s="41"/>
    </row>
    <row r="260" spans="2:30" hidden="1" outlineLevel="1" x14ac:dyDescent="0.3">
      <c r="B260" s="33"/>
      <c r="C260" s="35"/>
      <c r="D260" s="37"/>
      <c r="E260" s="39"/>
      <c r="F260" s="3">
        <f>F247</f>
        <v>1</v>
      </c>
      <c r="G260" s="3">
        <f t="shared" ref="G260:X260" si="63">G247</f>
        <v>4</v>
      </c>
      <c r="H260" s="3">
        <f t="shared" si="63"/>
        <v>5</v>
      </c>
      <c r="I260" s="3">
        <f t="shared" si="63"/>
        <v>6</v>
      </c>
      <c r="J260" s="3">
        <f t="shared" si="63"/>
        <v>7</v>
      </c>
      <c r="K260" s="3">
        <f t="shared" si="63"/>
        <v>8</v>
      </c>
      <c r="L260" s="3">
        <f t="shared" si="63"/>
        <v>11</v>
      </c>
      <c r="M260" s="3">
        <f t="shared" si="63"/>
        <v>12</v>
      </c>
      <c r="N260" s="3">
        <f t="shared" si="63"/>
        <v>13</v>
      </c>
      <c r="O260" s="3">
        <f t="shared" si="63"/>
        <v>14</v>
      </c>
      <c r="P260" s="3">
        <f t="shared" si="63"/>
        <v>15</v>
      </c>
      <c r="Q260" s="3">
        <f t="shared" si="63"/>
        <v>18</v>
      </c>
      <c r="R260" s="3">
        <f t="shared" si="63"/>
        <v>19</v>
      </c>
      <c r="S260" s="3">
        <f t="shared" si="63"/>
        <v>20</v>
      </c>
      <c r="T260" s="3">
        <f t="shared" si="63"/>
        <v>21</v>
      </c>
      <c r="U260" s="3">
        <f t="shared" si="63"/>
        <v>22</v>
      </c>
      <c r="V260" s="3">
        <f t="shared" si="63"/>
        <v>25</v>
      </c>
      <c r="W260" s="3">
        <f t="shared" si="63"/>
        <v>26</v>
      </c>
      <c r="X260" s="3">
        <f t="shared" si="63"/>
        <v>27</v>
      </c>
      <c r="Y260" s="3">
        <f>Y247</f>
        <v>28</v>
      </c>
      <c r="Z260" s="3">
        <f t="shared" ref="Z260" si="64">Z247</f>
        <v>29</v>
      </c>
      <c r="AA260" s="41"/>
    </row>
    <row r="261" spans="2:30" hidden="1" outlineLevel="1" x14ac:dyDescent="0.3">
      <c r="B261" s="27" t="str">
        <f>B248</f>
        <v>Терещенко Сергій</v>
      </c>
      <c r="C261" s="4" t="str">
        <f>C248</f>
        <v>Працівник порізочного участка</v>
      </c>
      <c r="D261" s="3" t="str">
        <f>D248</f>
        <v>Так</v>
      </c>
      <c r="E261" s="10">
        <f>E248</f>
        <v>122.02380952380952</v>
      </c>
      <c r="F261" s="3">
        <f>F248</f>
        <v>0</v>
      </c>
      <c r="G261" s="3">
        <f t="shared" ref="G261:Z261" si="65">G248</f>
        <v>0</v>
      </c>
      <c r="H261" s="3">
        <f t="shared" si="65"/>
        <v>0</v>
      </c>
      <c r="I261" s="3">
        <f t="shared" si="65"/>
        <v>0</v>
      </c>
      <c r="J261" s="3">
        <f t="shared" si="65"/>
        <v>0</v>
      </c>
      <c r="K261" s="3">
        <f t="shared" si="65"/>
        <v>0</v>
      </c>
      <c r="L261" s="3">
        <f t="shared" si="65"/>
        <v>0</v>
      </c>
      <c r="M261" s="3">
        <f t="shared" si="65"/>
        <v>0</v>
      </c>
      <c r="N261" s="3">
        <f t="shared" si="65"/>
        <v>0</v>
      </c>
      <c r="O261" s="3">
        <f t="shared" si="65"/>
        <v>0</v>
      </c>
      <c r="P261" s="3">
        <f t="shared" si="65"/>
        <v>0</v>
      </c>
      <c r="Q261" s="3">
        <f t="shared" si="65"/>
        <v>0</v>
      </c>
      <c r="R261" s="3">
        <f t="shared" si="65"/>
        <v>0</v>
      </c>
      <c r="S261" s="3">
        <f t="shared" si="65"/>
        <v>0</v>
      </c>
      <c r="T261" s="3">
        <f t="shared" si="65"/>
        <v>0</v>
      </c>
      <c r="U261" s="3">
        <f t="shared" si="65"/>
        <v>0</v>
      </c>
      <c r="V261" s="3">
        <f t="shared" si="65"/>
        <v>0</v>
      </c>
      <c r="W261" s="3">
        <f t="shared" si="65"/>
        <v>0</v>
      </c>
      <c r="X261" s="3">
        <f t="shared" si="65"/>
        <v>0</v>
      </c>
      <c r="Y261" s="3">
        <f t="shared" si="65"/>
        <v>0</v>
      </c>
      <c r="Z261" s="3">
        <f t="shared" si="65"/>
        <v>0</v>
      </c>
      <c r="AA261" s="5">
        <f>AA248</f>
        <v>0</v>
      </c>
    </row>
    <row r="262" spans="2:30" ht="7.8" hidden="1" customHeight="1" outlineLevel="1" x14ac:dyDescent="0.3">
      <c r="B262" s="2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8"/>
    </row>
    <row r="263" spans="2:30" hidden="1" outlineLevel="1" x14ac:dyDescent="0.3">
      <c r="B263" s="27"/>
      <c r="C263" s="29" t="s">
        <v>37</v>
      </c>
      <c r="D263" s="21"/>
      <c r="E263" s="20" t="s">
        <v>31</v>
      </c>
      <c r="F263" s="20"/>
      <c r="G263" s="20"/>
      <c r="H263" s="20"/>
      <c r="I263" s="20" t="s">
        <v>40</v>
      </c>
      <c r="J263" s="20"/>
      <c r="K263" s="20"/>
      <c r="L263" s="20"/>
      <c r="M263" s="20"/>
      <c r="N263" s="20"/>
      <c r="O263" s="20" t="s">
        <v>34</v>
      </c>
      <c r="P263" s="20"/>
      <c r="Q263" s="20"/>
      <c r="R263" s="20"/>
      <c r="S263" s="20"/>
      <c r="T263" s="20"/>
      <c r="U263" s="20" t="s">
        <v>35</v>
      </c>
      <c r="V263" s="20"/>
      <c r="W263" s="20"/>
      <c r="X263" s="20"/>
      <c r="Y263" s="20"/>
      <c r="Z263" s="20"/>
      <c r="AA263" s="9" t="s">
        <v>36</v>
      </c>
      <c r="AC263" s="21" t="s">
        <v>45</v>
      </c>
      <c r="AD263" s="21"/>
    </row>
    <row r="264" spans="2:30" hidden="1" outlineLevel="1" x14ac:dyDescent="0.3">
      <c r="B264" s="27"/>
      <c r="C264" s="29"/>
      <c r="D264" s="21"/>
      <c r="E264" s="22">
        <f>E251</f>
        <v>0</v>
      </c>
      <c r="F264" s="22"/>
      <c r="G264" s="22"/>
      <c r="H264" s="22"/>
      <c r="I264" s="22">
        <f>I251</f>
        <v>0</v>
      </c>
      <c r="J264" s="22"/>
      <c r="K264" s="22"/>
      <c r="L264" s="22"/>
      <c r="M264" s="22"/>
      <c r="N264" s="22"/>
      <c r="O264" s="22">
        <f t="shared" ref="O264" si="66">O251</f>
        <v>0</v>
      </c>
      <c r="P264" s="22"/>
      <c r="Q264" s="22"/>
      <c r="R264" s="22"/>
      <c r="S264" s="22"/>
      <c r="T264" s="22"/>
      <c r="U264" s="22">
        <f>U251</f>
        <v>0</v>
      </c>
      <c r="V264" s="22"/>
      <c r="W264" s="22"/>
      <c r="X264" s="22"/>
      <c r="Y264" s="22"/>
      <c r="Z264" s="22"/>
      <c r="AA264" s="24">
        <f>AA251</f>
        <v>0</v>
      </c>
      <c r="AC264" s="21">
        <f>AC251</f>
        <v>21</v>
      </c>
      <c r="AD264" s="21"/>
    </row>
    <row r="265" spans="2:30" hidden="1" outlineLevel="1" x14ac:dyDescent="0.3">
      <c r="B265" s="27"/>
      <c r="C265" s="29"/>
      <c r="D265" s="21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4"/>
      <c r="AC265" s="21"/>
      <c r="AD265" s="21"/>
    </row>
    <row r="266" spans="2:30" ht="7.2" hidden="1" customHeight="1" outlineLevel="1" x14ac:dyDescent="0.3">
      <c r="B266" s="2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8"/>
    </row>
    <row r="267" spans="2:30" hidden="1" outlineLevel="1" x14ac:dyDescent="0.3">
      <c r="B267" s="27"/>
      <c r="C267" s="29" t="s">
        <v>38</v>
      </c>
      <c r="D267" s="21"/>
      <c r="E267" s="20" t="s">
        <v>39</v>
      </c>
      <c r="F267" s="20"/>
      <c r="G267" s="20"/>
      <c r="H267" s="20"/>
      <c r="I267" s="20" t="s">
        <v>41</v>
      </c>
      <c r="J267" s="20"/>
      <c r="K267" s="20"/>
      <c r="L267" s="20"/>
      <c r="M267" s="20"/>
      <c r="N267" s="20"/>
      <c r="O267" s="20" t="s">
        <v>42</v>
      </c>
      <c r="P267" s="20"/>
      <c r="Q267" s="20"/>
      <c r="R267" s="20"/>
      <c r="S267" s="20"/>
      <c r="T267" s="20"/>
      <c r="U267" s="20" t="s">
        <v>43</v>
      </c>
      <c r="V267" s="20"/>
      <c r="W267" s="20"/>
      <c r="X267" s="20"/>
      <c r="Y267" s="20"/>
      <c r="Z267" s="20"/>
      <c r="AA267" s="9" t="s">
        <v>36</v>
      </c>
      <c r="AC267" s="21" t="s">
        <v>46</v>
      </c>
      <c r="AD267" s="21"/>
    </row>
    <row r="268" spans="2:30" hidden="1" outlineLevel="1" x14ac:dyDescent="0.3">
      <c r="B268" s="27"/>
      <c r="C268" s="29"/>
      <c r="D268" s="21"/>
      <c r="E268" s="22">
        <f>E255</f>
        <v>0</v>
      </c>
      <c r="F268" s="22"/>
      <c r="G268" s="22"/>
      <c r="H268" s="22"/>
      <c r="I268" s="22">
        <f>I255</f>
        <v>0</v>
      </c>
      <c r="J268" s="22"/>
      <c r="K268" s="22"/>
      <c r="L268" s="22"/>
      <c r="M268" s="22"/>
      <c r="N268" s="22"/>
      <c r="O268" s="22">
        <f t="shared" ref="O268" si="67">O255</f>
        <v>0</v>
      </c>
      <c r="P268" s="22"/>
      <c r="Q268" s="22"/>
      <c r="R268" s="22"/>
      <c r="S268" s="22"/>
      <c r="T268" s="22"/>
      <c r="U268" s="22">
        <f t="shared" ref="U268" si="68">U255</f>
        <v>0</v>
      </c>
      <c r="V268" s="22"/>
      <c r="W268" s="22"/>
      <c r="X268" s="22"/>
      <c r="Y268" s="22"/>
      <c r="Z268" s="22"/>
      <c r="AA268" s="24">
        <f>AA255</f>
        <v>0</v>
      </c>
      <c r="AC268" s="26">
        <f>AC255</f>
        <v>20500</v>
      </c>
      <c r="AD268" s="26"/>
    </row>
    <row r="269" spans="2:30" ht="15" hidden="1" outlineLevel="1" thickBot="1" x14ac:dyDescent="0.35">
      <c r="B269" s="28"/>
      <c r="C269" s="30"/>
      <c r="D269" s="31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5"/>
      <c r="AC269" s="26"/>
      <c r="AD269" s="26"/>
    </row>
    <row r="270" spans="2:30" s="15" customFormat="1" collapsed="1" x14ac:dyDescent="0.3">
      <c r="B270" s="19"/>
      <c r="D270" s="16"/>
    </row>
    <row r="271" spans="2:30" ht="3.6" customHeight="1" thickBot="1" x14ac:dyDescent="0.35"/>
    <row r="272" spans="2:30" ht="16.8" customHeight="1" x14ac:dyDescent="0.3">
      <c r="B272" s="32" t="s">
        <v>0</v>
      </c>
      <c r="C272" s="34" t="s">
        <v>1</v>
      </c>
      <c r="D272" s="36" t="s">
        <v>27</v>
      </c>
      <c r="E272" s="38" t="s">
        <v>30</v>
      </c>
      <c r="F272" s="44" t="str">
        <f>$F$2</f>
        <v>Травень 2026р</v>
      </c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0" t="s">
        <v>33</v>
      </c>
      <c r="AC272" s="42" t="s">
        <v>47</v>
      </c>
      <c r="AD272" s="43"/>
    </row>
    <row r="273" spans="2:30" x14ac:dyDescent="0.3">
      <c r="B273" s="33"/>
      <c r="C273" s="35"/>
      <c r="D273" s="37"/>
      <c r="E273" s="39"/>
      <c r="F273" s="3" t="str">
        <f>$F$3</f>
        <v>ПТ</v>
      </c>
      <c r="G273" s="3" t="str">
        <f>$G$3</f>
        <v>ПН</v>
      </c>
      <c r="H273" s="3" t="str">
        <f>$H$3</f>
        <v>ВТ</v>
      </c>
      <c r="I273" s="3" t="str">
        <f>$I$3</f>
        <v>СР</v>
      </c>
      <c r="J273" s="3" t="str">
        <f>$J$3</f>
        <v>ЧТ</v>
      </c>
      <c r="K273" s="3" t="str">
        <f>$K$3</f>
        <v>ПТ</v>
      </c>
      <c r="L273" s="3" t="str">
        <f>$L$3</f>
        <v>ПН</v>
      </c>
      <c r="M273" s="3" t="str">
        <f>$M$3</f>
        <v>ВТ</v>
      </c>
      <c r="N273" s="3" t="str">
        <f>$N$3</f>
        <v>СР</v>
      </c>
      <c r="O273" s="3" t="str">
        <f>$O$3</f>
        <v>ЧТ</v>
      </c>
      <c r="P273" s="3" t="str">
        <f>$P$3</f>
        <v>ПТ</v>
      </c>
      <c r="Q273" s="3" t="str">
        <f>$Q$3</f>
        <v>ПН</v>
      </c>
      <c r="R273" s="3" t="str">
        <f>$R$3</f>
        <v>ВТ</v>
      </c>
      <c r="S273" s="3" t="str">
        <f>$S$3</f>
        <v>СР</v>
      </c>
      <c r="T273" s="3" t="str">
        <f>$T$3</f>
        <v>ЧТ</v>
      </c>
      <c r="U273" s="3" t="str">
        <f>$U$3</f>
        <v>ПТ</v>
      </c>
      <c r="V273" s="3" t="str">
        <f>$V$3</f>
        <v>ПН</v>
      </c>
      <c r="W273" s="3" t="str">
        <f>$W$3</f>
        <v>ВТ</v>
      </c>
      <c r="X273" s="3" t="str">
        <f>$X$3</f>
        <v>СР</v>
      </c>
      <c r="Y273" s="3" t="str">
        <f>$Y$3</f>
        <v>ЧТ</v>
      </c>
      <c r="Z273" s="3" t="str">
        <f>$Z$3</f>
        <v>ПТ</v>
      </c>
      <c r="AA273" s="41"/>
      <c r="AC273" s="11"/>
      <c r="AD273" s="12"/>
    </row>
    <row r="274" spans="2:30" x14ac:dyDescent="0.3">
      <c r="B274" s="33"/>
      <c r="C274" s="35"/>
      <c r="D274" s="37"/>
      <c r="E274" s="39"/>
      <c r="F274" s="3">
        <f>$F$4</f>
        <v>1</v>
      </c>
      <c r="G274" s="3">
        <f>$G$4</f>
        <v>4</v>
      </c>
      <c r="H274" s="3">
        <f>$H$4</f>
        <v>5</v>
      </c>
      <c r="I274" s="3">
        <f>$I$4</f>
        <v>6</v>
      </c>
      <c r="J274" s="3">
        <f>$J$4</f>
        <v>7</v>
      </c>
      <c r="K274" s="3">
        <f>$K$4</f>
        <v>8</v>
      </c>
      <c r="L274" s="3">
        <f>$L$4</f>
        <v>11</v>
      </c>
      <c r="M274" s="3">
        <f>$M$4</f>
        <v>12</v>
      </c>
      <c r="N274" s="3">
        <f>$N$4</f>
        <v>13</v>
      </c>
      <c r="O274" s="3">
        <f>$O$4</f>
        <v>14</v>
      </c>
      <c r="P274" s="3">
        <f>$P$4</f>
        <v>15</v>
      </c>
      <c r="Q274" s="3">
        <f>$Q$4</f>
        <v>18</v>
      </c>
      <c r="R274" s="3">
        <f>$R$4</f>
        <v>19</v>
      </c>
      <c r="S274" s="3">
        <f>$S$4</f>
        <v>20</v>
      </c>
      <c r="T274" s="3">
        <f>$T$4</f>
        <v>21</v>
      </c>
      <c r="U274" s="3">
        <f>$U$4</f>
        <v>22</v>
      </c>
      <c r="V274" s="3">
        <f>$V$4</f>
        <v>25</v>
      </c>
      <c r="W274" s="3">
        <f>$W$4</f>
        <v>26</v>
      </c>
      <c r="X274" s="3">
        <f>$X$4</f>
        <v>27</v>
      </c>
      <c r="Y274" s="3">
        <f>$Y$4</f>
        <v>28</v>
      </c>
      <c r="Z274" s="3">
        <f>$Z$4</f>
        <v>29</v>
      </c>
      <c r="AA274" s="41"/>
      <c r="AC274" s="11"/>
      <c r="AD274" s="12"/>
    </row>
    <row r="275" spans="2:30" x14ac:dyDescent="0.3">
      <c r="B275" s="27" t="s">
        <v>20</v>
      </c>
      <c r="C275" s="4" t="s">
        <v>9</v>
      </c>
      <c r="D275" s="17" t="s">
        <v>29</v>
      </c>
      <c r="E275" s="10">
        <f>AC282/AC278/8</f>
        <v>119.04761904761905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5">
        <f>SUM(F275:Z275)</f>
        <v>0</v>
      </c>
      <c r="AC275" s="13"/>
      <c r="AD275" s="14"/>
    </row>
    <row r="276" spans="2:30" ht="4.8" customHeight="1" x14ac:dyDescent="0.3">
      <c r="B276" s="2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8"/>
    </row>
    <row r="277" spans="2:30" x14ac:dyDescent="0.3">
      <c r="B277" s="27"/>
      <c r="C277" s="29" t="s">
        <v>37</v>
      </c>
      <c r="D277" s="21"/>
      <c r="E277" s="20" t="s">
        <v>31</v>
      </c>
      <c r="F277" s="20"/>
      <c r="G277" s="20"/>
      <c r="H277" s="20"/>
      <c r="I277" s="20" t="s">
        <v>40</v>
      </c>
      <c r="J277" s="20"/>
      <c r="K277" s="20"/>
      <c r="L277" s="20"/>
      <c r="M277" s="20"/>
      <c r="N277" s="20"/>
      <c r="O277" s="20" t="s">
        <v>34</v>
      </c>
      <c r="P277" s="20"/>
      <c r="Q277" s="20"/>
      <c r="R277" s="20"/>
      <c r="S277" s="20"/>
      <c r="T277" s="20"/>
      <c r="U277" s="20" t="s">
        <v>35</v>
      </c>
      <c r="V277" s="20"/>
      <c r="W277" s="20"/>
      <c r="X277" s="20"/>
      <c r="Y277" s="20"/>
      <c r="Z277" s="20"/>
      <c r="AA277" s="9" t="s">
        <v>36</v>
      </c>
      <c r="AC277" s="21" t="s">
        <v>45</v>
      </c>
      <c r="AD277" s="21"/>
    </row>
    <row r="278" spans="2:30" x14ac:dyDescent="0.3">
      <c r="B278" s="27"/>
      <c r="C278" s="29"/>
      <c r="D278" s="21"/>
      <c r="E278" s="22">
        <f>E275*AA275</f>
        <v>0</v>
      </c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4">
        <f>E278+I278+O278-U278</f>
        <v>0</v>
      </c>
      <c r="AC278" s="21">
        <f>$AC$8</f>
        <v>21</v>
      </c>
      <c r="AD278" s="21"/>
    </row>
    <row r="279" spans="2:30" x14ac:dyDescent="0.3">
      <c r="B279" s="27"/>
      <c r="C279" s="29"/>
      <c r="D279" s="21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4"/>
      <c r="AC279" s="21"/>
      <c r="AD279" s="21"/>
    </row>
    <row r="280" spans="2:30" ht="4.8" customHeight="1" x14ac:dyDescent="0.3">
      <c r="B280" s="2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8"/>
    </row>
    <row r="281" spans="2:30" x14ac:dyDescent="0.3">
      <c r="B281" s="27"/>
      <c r="C281" s="29" t="s">
        <v>38</v>
      </c>
      <c r="D281" s="21"/>
      <c r="E281" s="20" t="s">
        <v>39</v>
      </c>
      <c r="F281" s="20"/>
      <c r="G281" s="20"/>
      <c r="H281" s="20"/>
      <c r="I281" s="20" t="s">
        <v>41</v>
      </c>
      <c r="J281" s="20"/>
      <c r="K281" s="20"/>
      <c r="L281" s="20"/>
      <c r="M281" s="20"/>
      <c r="N281" s="20"/>
      <c r="O281" s="20" t="s">
        <v>42</v>
      </c>
      <c r="P281" s="20"/>
      <c r="Q281" s="20"/>
      <c r="R281" s="20"/>
      <c r="S281" s="20"/>
      <c r="T281" s="20"/>
      <c r="U281" s="20" t="s">
        <v>43</v>
      </c>
      <c r="V281" s="20"/>
      <c r="W281" s="20"/>
      <c r="X281" s="20"/>
      <c r="Y281" s="20"/>
      <c r="Z281" s="20"/>
      <c r="AA281" s="9" t="s">
        <v>36</v>
      </c>
      <c r="AC281" s="21" t="s">
        <v>46</v>
      </c>
      <c r="AD281" s="21"/>
    </row>
    <row r="282" spans="2:30" x14ac:dyDescent="0.3">
      <c r="B282" s="27"/>
      <c r="C282" s="29"/>
      <c r="D282" s="21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4">
        <f>E282+I282+O282+U282</f>
        <v>0</v>
      </c>
      <c r="AC282" s="26">
        <v>20000</v>
      </c>
      <c r="AD282" s="26"/>
    </row>
    <row r="283" spans="2:30" ht="15" thickBot="1" x14ac:dyDescent="0.35">
      <c r="B283" s="28"/>
      <c r="C283" s="30"/>
      <c r="D283" s="31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5"/>
      <c r="AC283" s="26"/>
      <c r="AD283" s="26"/>
    </row>
    <row r="284" spans="2:30" ht="55.2" hidden="1" customHeight="1" outlineLevel="1" thickBot="1" x14ac:dyDescent="0.35"/>
    <row r="285" spans="2:30" ht="16.8" hidden="1" customHeight="1" outlineLevel="1" x14ac:dyDescent="0.3">
      <c r="B285" s="32" t="s">
        <v>0</v>
      </c>
      <c r="C285" s="34" t="s">
        <v>1</v>
      </c>
      <c r="D285" s="36" t="s">
        <v>27</v>
      </c>
      <c r="E285" s="38" t="s">
        <v>30</v>
      </c>
      <c r="F285" s="34" t="str">
        <f>F272</f>
        <v>Травень 2026р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40" t="s">
        <v>33</v>
      </c>
    </row>
    <row r="286" spans="2:30" hidden="1" outlineLevel="1" x14ac:dyDescent="0.3">
      <c r="B286" s="33"/>
      <c r="C286" s="35"/>
      <c r="D286" s="37"/>
      <c r="E286" s="39"/>
      <c r="F286" s="3" t="str">
        <f>F273</f>
        <v>ПТ</v>
      </c>
      <c r="G286" s="3" t="str">
        <f t="shared" ref="G286:Z286" si="69">G273</f>
        <v>ПН</v>
      </c>
      <c r="H286" s="3" t="str">
        <f t="shared" si="69"/>
        <v>ВТ</v>
      </c>
      <c r="I286" s="3" t="str">
        <f t="shared" si="69"/>
        <v>СР</v>
      </c>
      <c r="J286" s="3" t="str">
        <f t="shared" si="69"/>
        <v>ЧТ</v>
      </c>
      <c r="K286" s="3" t="str">
        <f t="shared" si="69"/>
        <v>ПТ</v>
      </c>
      <c r="L286" s="3" t="str">
        <f t="shared" si="69"/>
        <v>ПН</v>
      </c>
      <c r="M286" s="3" t="str">
        <f t="shared" si="69"/>
        <v>ВТ</v>
      </c>
      <c r="N286" s="3" t="str">
        <f t="shared" si="69"/>
        <v>СР</v>
      </c>
      <c r="O286" s="3" t="str">
        <f t="shared" si="69"/>
        <v>ЧТ</v>
      </c>
      <c r="P286" s="3" t="str">
        <f t="shared" si="69"/>
        <v>ПТ</v>
      </c>
      <c r="Q286" s="3" t="str">
        <f t="shared" si="69"/>
        <v>ПН</v>
      </c>
      <c r="R286" s="3" t="str">
        <f t="shared" si="69"/>
        <v>ВТ</v>
      </c>
      <c r="S286" s="3" t="str">
        <f t="shared" si="69"/>
        <v>СР</v>
      </c>
      <c r="T286" s="3" t="str">
        <f t="shared" si="69"/>
        <v>ЧТ</v>
      </c>
      <c r="U286" s="3" t="str">
        <f t="shared" si="69"/>
        <v>ПТ</v>
      </c>
      <c r="V286" s="3" t="str">
        <f t="shared" si="69"/>
        <v>ПН</v>
      </c>
      <c r="W286" s="3" t="str">
        <f t="shared" si="69"/>
        <v>ВТ</v>
      </c>
      <c r="X286" s="3" t="str">
        <f t="shared" si="69"/>
        <v>СР</v>
      </c>
      <c r="Y286" s="3" t="str">
        <f t="shared" si="69"/>
        <v>ЧТ</v>
      </c>
      <c r="Z286" s="3" t="str">
        <f t="shared" si="69"/>
        <v>ПТ</v>
      </c>
      <c r="AA286" s="41"/>
    </row>
    <row r="287" spans="2:30" hidden="1" outlineLevel="1" x14ac:dyDescent="0.3">
      <c r="B287" s="33"/>
      <c r="C287" s="35"/>
      <c r="D287" s="37"/>
      <c r="E287" s="39"/>
      <c r="F287" s="3">
        <f>F274</f>
        <v>1</v>
      </c>
      <c r="G287" s="3">
        <f t="shared" ref="G287:X287" si="70">G274</f>
        <v>4</v>
      </c>
      <c r="H287" s="3">
        <f t="shared" si="70"/>
        <v>5</v>
      </c>
      <c r="I287" s="3">
        <f t="shared" si="70"/>
        <v>6</v>
      </c>
      <c r="J287" s="3">
        <f t="shared" si="70"/>
        <v>7</v>
      </c>
      <c r="K287" s="3">
        <f t="shared" si="70"/>
        <v>8</v>
      </c>
      <c r="L287" s="3">
        <f t="shared" si="70"/>
        <v>11</v>
      </c>
      <c r="M287" s="3">
        <f t="shared" si="70"/>
        <v>12</v>
      </c>
      <c r="N287" s="3">
        <f t="shared" si="70"/>
        <v>13</v>
      </c>
      <c r="O287" s="3">
        <f t="shared" si="70"/>
        <v>14</v>
      </c>
      <c r="P287" s="3">
        <f t="shared" si="70"/>
        <v>15</v>
      </c>
      <c r="Q287" s="3">
        <f t="shared" si="70"/>
        <v>18</v>
      </c>
      <c r="R287" s="3">
        <f t="shared" si="70"/>
        <v>19</v>
      </c>
      <c r="S287" s="3">
        <f t="shared" si="70"/>
        <v>20</v>
      </c>
      <c r="T287" s="3">
        <f t="shared" si="70"/>
        <v>21</v>
      </c>
      <c r="U287" s="3">
        <f t="shared" si="70"/>
        <v>22</v>
      </c>
      <c r="V287" s="3">
        <f t="shared" si="70"/>
        <v>25</v>
      </c>
      <c r="W287" s="3">
        <f t="shared" si="70"/>
        <v>26</v>
      </c>
      <c r="X287" s="3">
        <f t="shared" si="70"/>
        <v>27</v>
      </c>
      <c r="Y287" s="3">
        <f>Y274</f>
        <v>28</v>
      </c>
      <c r="Z287" s="3">
        <f t="shared" ref="Z287" si="71">Z274</f>
        <v>29</v>
      </c>
      <c r="AA287" s="41"/>
    </row>
    <row r="288" spans="2:30" hidden="1" outlineLevel="1" x14ac:dyDescent="0.3">
      <c r="B288" s="27" t="str">
        <f>B275</f>
        <v>Кузман Вікторія</v>
      </c>
      <c r="C288" s="4" t="str">
        <f>C275</f>
        <v>оператор устаткування</v>
      </c>
      <c r="D288" s="3" t="str">
        <f>D275</f>
        <v>Ні</v>
      </c>
      <c r="E288" s="10">
        <f>E275</f>
        <v>119.04761904761905</v>
      </c>
      <c r="F288" s="3">
        <f>F275</f>
        <v>0</v>
      </c>
      <c r="G288" s="3">
        <f t="shared" ref="G288:Z288" si="72">G275</f>
        <v>0</v>
      </c>
      <c r="H288" s="3">
        <f t="shared" si="72"/>
        <v>0</v>
      </c>
      <c r="I288" s="3">
        <f t="shared" si="72"/>
        <v>0</v>
      </c>
      <c r="J288" s="3">
        <f t="shared" si="72"/>
        <v>0</v>
      </c>
      <c r="K288" s="3">
        <f t="shared" si="72"/>
        <v>0</v>
      </c>
      <c r="L288" s="3">
        <f t="shared" si="72"/>
        <v>0</v>
      </c>
      <c r="M288" s="3">
        <f t="shared" si="72"/>
        <v>0</v>
      </c>
      <c r="N288" s="3">
        <f t="shared" si="72"/>
        <v>0</v>
      </c>
      <c r="O288" s="3">
        <f t="shared" si="72"/>
        <v>0</v>
      </c>
      <c r="P288" s="3">
        <f t="shared" si="72"/>
        <v>0</v>
      </c>
      <c r="Q288" s="3">
        <f t="shared" si="72"/>
        <v>0</v>
      </c>
      <c r="R288" s="3">
        <f t="shared" si="72"/>
        <v>0</v>
      </c>
      <c r="S288" s="3">
        <f t="shared" si="72"/>
        <v>0</v>
      </c>
      <c r="T288" s="3">
        <f t="shared" si="72"/>
        <v>0</v>
      </c>
      <c r="U288" s="3">
        <f t="shared" si="72"/>
        <v>0</v>
      </c>
      <c r="V288" s="3">
        <f t="shared" si="72"/>
        <v>0</v>
      </c>
      <c r="W288" s="3">
        <f t="shared" si="72"/>
        <v>0</v>
      </c>
      <c r="X288" s="3">
        <f t="shared" si="72"/>
        <v>0</v>
      </c>
      <c r="Y288" s="3">
        <f t="shared" si="72"/>
        <v>0</v>
      </c>
      <c r="Z288" s="3">
        <f t="shared" si="72"/>
        <v>0</v>
      </c>
      <c r="AA288" s="5">
        <f>AA275</f>
        <v>0</v>
      </c>
    </row>
    <row r="289" spans="2:30" ht="7.8" hidden="1" customHeight="1" outlineLevel="1" x14ac:dyDescent="0.3">
      <c r="B289" s="2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8"/>
    </row>
    <row r="290" spans="2:30" hidden="1" outlineLevel="1" x14ac:dyDescent="0.3">
      <c r="B290" s="27"/>
      <c r="C290" s="29" t="s">
        <v>37</v>
      </c>
      <c r="D290" s="21"/>
      <c r="E290" s="20" t="s">
        <v>31</v>
      </c>
      <c r="F290" s="20"/>
      <c r="G290" s="20"/>
      <c r="H290" s="20"/>
      <c r="I290" s="20" t="s">
        <v>40</v>
      </c>
      <c r="J290" s="20"/>
      <c r="K290" s="20"/>
      <c r="L290" s="20"/>
      <c r="M290" s="20"/>
      <c r="N290" s="20"/>
      <c r="O290" s="20" t="s">
        <v>34</v>
      </c>
      <c r="P290" s="20"/>
      <c r="Q290" s="20"/>
      <c r="R290" s="20"/>
      <c r="S290" s="20"/>
      <c r="T290" s="20"/>
      <c r="U290" s="20" t="s">
        <v>35</v>
      </c>
      <c r="V290" s="20"/>
      <c r="W290" s="20"/>
      <c r="X290" s="20"/>
      <c r="Y290" s="20"/>
      <c r="Z290" s="20"/>
      <c r="AA290" s="9" t="s">
        <v>36</v>
      </c>
      <c r="AC290" s="21" t="s">
        <v>45</v>
      </c>
      <c r="AD290" s="21"/>
    </row>
    <row r="291" spans="2:30" hidden="1" outlineLevel="1" x14ac:dyDescent="0.3">
      <c r="B291" s="27"/>
      <c r="C291" s="29"/>
      <c r="D291" s="21"/>
      <c r="E291" s="22">
        <f>E278</f>
        <v>0</v>
      </c>
      <c r="F291" s="22"/>
      <c r="G291" s="22"/>
      <c r="H291" s="22"/>
      <c r="I291" s="22">
        <f>I278</f>
        <v>0</v>
      </c>
      <c r="J291" s="22"/>
      <c r="K291" s="22"/>
      <c r="L291" s="22"/>
      <c r="M291" s="22"/>
      <c r="N291" s="22"/>
      <c r="O291" s="22">
        <f t="shared" ref="O291" si="73">O278</f>
        <v>0</v>
      </c>
      <c r="P291" s="22"/>
      <c r="Q291" s="22"/>
      <c r="R291" s="22"/>
      <c r="S291" s="22"/>
      <c r="T291" s="22"/>
      <c r="U291" s="22">
        <f>U278</f>
        <v>0</v>
      </c>
      <c r="V291" s="22"/>
      <c r="W291" s="22"/>
      <c r="X291" s="22"/>
      <c r="Y291" s="22"/>
      <c r="Z291" s="22"/>
      <c r="AA291" s="24">
        <f>AA278</f>
        <v>0</v>
      </c>
      <c r="AC291" s="21">
        <f>AC278</f>
        <v>21</v>
      </c>
      <c r="AD291" s="21"/>
    </row>
    <row r="292" spans="2:30" hidden="1" outlineLevel="1" x14ac:dyDescent="0.3">
      <c r="B292" s="27"/>
      <c r="C292" s="29"/>
      <c r="D292" s="21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4"/>
      <c r="AC292" s="21"/>
      <c r="AD292" s="21"/>
    </row>
    <row r="293" spans="2:30" ht="7.2" hidden="1" customHeight="1" outlineLevel="1" x14ac:dyDescent="0.3">
      <c r="B293" s="2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8"/>
    </row>
    <row r="294" spans="2:30" hidden="1" outlineLevel="1" x14ac:dyDescent="0.3">
      <c r="B294" s="27"/>
      <c r="C294" s="29" t="s">
        <v>38</v>
      </c>
      <c r="D294" s="21"/>
      <c r="E294" s="20" t="s">
        <v>39</v>
      </c>
      <c r="F294" s="20"/>
      <c r="G294" s="20"/>
      <c r="H294" s="20"/>
      <c r="I294" s="20" t="s">
        <v>41</v>
      </c>
      <c r="J294" s="20"/>
      <c r="K294" s="20"/>
      <c r="L294" s="20"/>
      <c r="M294" s="20"/>
      <c r="N294" s="20"/>
      <c r="O294" s="20" t="s">
        <v>42</v>
      </c>
      <c r="P294" s="20"/>
      <c r="Q294" s="20"/>
      <c r="R294" s="20"/>
      <c r="S294" s="20"/>
      <c r="T294" s="20"/>
      <c r="U294" s="20" t="s">
        <v>43</v>
      </c>
      <c r="V294" s="20"/>
      <c r="W294" s="20"/>
      <c r="X294" s="20"/>
      <c r="Y294" s="20"/>
      <c r="Z294" s="20"/>
      <c r="AA294" s="9" t="s">
        <v>36</v>
      </c>
      <c r="AC294" s="21" t="s">
        <v>46</v>
      </c>
      <c r="AD294" s="21"/>
    </row>
    <row r="295" spans="2:30" hidden="1" outlineLevel="1" x14ac:dyDescent="0.3">
      <c r="B295" s="27"/>
      <c r="C295" s="29"/>
      <c r="D295" s="21"/>
      <c r="E295" s="22">
        <f>E282</f>
        <v>0</v>
      </c>
      <c r="F295" s="22"/>
      <c r="G295" s="22"/>
      <c r="H295" s="22"/>
      <c r="I295" s="22">
        <f>I282</f>
        <v>0</v>
      </c>
      <c r="J295" s="22"/>
      <c r="K295" s="22"/>
      <c r="L295" s="22"/>
      <c r="M295" s="22"/>
      <c r="N295" s="22"/>
      <c r="O295" s="22">
        <f t="shared" ref="O295" si="74">O282</f>
        <v>0</v>
      </c>
      <c r="P295" s="22"/>
      <c r="Q295" s="22"/>
      <c r="R295" s="22"/>
      <c r="S295" s="22"/>
      <c r="T295" s="22"/>
      <c r="U295" s="22">
        <f t="shared" ref="U295" si="75">U282</f>
        <v>0</v>
      </c>
      <c r="V295" s="22"/>
      <c r="W295" s="22"/>
      <c r="X295" s="22"/>
      <c r="Y295" s="22"/>
      <c r="Z295" s="22"/>
      <c r="AA295" s="24">
        <f>AA282</f>
        <v>0</v>
      </c>
      <c r="AC295" s="26">
        <f>AC282</f>
        <v>20000</v>
      </c>
      <c r="AD295" s="26"/>
    </row>
    <row r="296" spans="2:30" ht="15" hidden="1" outlineLevel="1" thickBot="1" x14ac:dyDescent="0.35">
      <c r="B296" s="28"/>
      <c r="C296" s="30"/>
      <c r="D296" s="31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5"/>
      <c r="AC296" s="26"/>
      <c r="AD296" s="26"/>
    </row>
    <row r="297" spans="2:30" s="15" customFormat="1" collapsed="1" x14ac:dyDescent="0.3">
      <c r="B297" s="19"/>
      <c r="D297" s="16"/>
    </row>
    <row r="298" spans="2:30" ht="3.6" customHeight="1" thickBot="1" x14ac:dyDescent="0.35"/>
    <row r="299" spans="2:30" ht="16.8" customHeight="1" x14ac:dyDescent="0.3">
      <c r="B299" s="32" t="s">
        <v>0</v>
      </c>
      <c r="C299" s="34" t="s">
        <v>1</v>
      </c>
      <c r="D299" s="36" t="s">
        <v>27</v>
      </c>
      <c r="E299" s="38" t="s">
        <v>30</v>
      </c>
      <c r="F299" s="44" t="str">
        <f>$F$2</f>
        <v>Травень 2026р</v>
      </c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0" t="s">
        <v>33</v>
      </c>
      <c r="AC299" s="42" t="s">
        <v>47</v>
      </c>
      <c r="AD299" s="43"/>
    </row>
    <row r="300" spans="2:30" x14ac:dyDescent="0.3">
      <c r="B300" s="33"/>
      <c r="C300" s="35"/>
      <c r="D300" s="37"/>
      <c r="E300" s="39"/>
      <c r="F300" s="3" t="str">
        <f>$F$3</f>
        <v>ПТ</v>
      </c>
      <c r="G300" s="3" t="str">
        <f>$G$3</f>
        <v>ПН</v>
      </c>
      <c r="H300" s="3" t="str">
        <f>$H$3</f>
        <v>ВТ</v>
      </c>
      <c r="I300" s="3" t="str">
        <f>$I$3</f>
        <v>СР</v>
      </c>
      <c r="J300" s="3" t="str">
        <f>$J$3</f>
        <v>ЧТ</v>
      </c>
      <c r="K300" s="3" t="str">
        <f>$K$3</f>
        <v>ПТ</v>
      </c>
      <c r="L300" s="3" t="str">
        <f>$L$3</f>
        <v>ПН</v>
      </c>
      <c r="M300" s="3" t="str">
        <f>$M$3</f>
        <v>ВТ</v>
      </c>
      <c r="N300" s="3" t="str">
        <f>$N$3</f>
        <v>СР</v>
      </c>
      <c r="O300" s="3" t="str">
        <f>$O$3</f>
        <v>ЧТ</v>
      </c>
      <c r="P300" s="3" t="str">
        <f>$P$3</f>
        <v>ПТ</v>
      </c>
      <c r="Q300" s="3" t="str">
        <f>$Q$3</f>
        <v>ПН</v>
      </c>
      <c r="R300" s="3" t="str">
        <f>$R$3</f>
        <v>ВТ</v>
      </c>
      <c r="S300" s="3" t="str">
        <f>$S$3</f>
        <v>СР</v>
      </c>
      <c r="T300" s="3" t="str">
        <f>$T$3</f>
        <v>ЧТ</v>
      </c>
      <c r="U300" s="3" t="str">
        <f>$U$3</f>
        <v>ПТ</v>
      </c>
      <c r="V300" s="3" t="str">
        <f>$V$3</f>
        <v>ПН</v>
      </c>
      <c r="W300" s="3" t="str">
        <f>$W$3</f>
        <v>ВТ</v>
      </c>
      <c r="X300" s="3" t="str">
        <f>$X$3</f>
        <v>СР</v>
      </c>
      <c r="Y300" s="3" t="str">
        <f>$Y$3</f>
        <v>ЧТ</v>
      </c>
      <c r="Z300" s="3" t="str">
        <f>$Z$3</f>
        <v>ПТ</v>
      </c>
      <c r="AA300" s="41"/>
      <c r="AC300" s="11"/>
      <c r="AD300" s="12"/>
    </row>
    <row r="301" spans="2:30" x14ac:dyDescent="0.3">
      <c r="B301" s="33"/>
      <c r="C301" s="35"/>
      <c r="D301" s="37"/>
      <c r="E301" s="39"/>
      <c r="F301" s="3">
        <f>$F$4</f>
        <v>1</v>
      </c>
      <c r="G301" s="3">
        <f>$G$4</f>
        <v>4</v>
      </c>
      <c r="H301" s="3">
        <f>$H$4</f>
        <v>5</v>
      </c>
      <c r="I301" s="3">
        <f>$I$4</f>
        <v>6</v>
      </c>
      <c r="J301" s="3">
        <f>$J$4</f>
        <v>7</v>
      </c>
      <c r="K301" s="3">
        <f>$K$4</f>
        <v>8</v>
      </c>
      <c r="L301" s="3">
        <f>$L$4</f>
        <v>11</v>
      </c>
      <c r="M301" s="3">
        <f>$M$4</f>
        <v>12</v>
      </c>
      <c r="N301" s="3">
        <f>$N$4</f>
        <v>13</v>
      </c>
      <c r="O301" s="3">
        <f>$O$4</f>
        <v>14</v>
      </c>
      <c r="P301" s="3">
        <f>$P$4</f>
        <v>15</v>
      </c>
      <c r="Q301" s="3">
        <f>$Q$4</f>
        <v>18</v>
      </c>
      <c r="R301" s="3">
        <f>$R$4</f>
        <v>19</v>
      </c>
      <c r="S301" s="3">
        <f>$S$4</f>
        <v>20</v>
      </c>
      <c r="T301" s="3">
        <f>$T$4</f>
        <v>21</v>
      </c>
      <c r="U301" s="3">
        <f>$U$4</f>
        <v>22</v>
      </c>
      <c r="V301" s="3">
        <f>$V$4</f>
        <v>25</v>
      </c>
      <c r="W301" s="3">
        <f>$W$4</f>
        <v>26</v>
      </c>
      <c r="X301" s="3">
        <f>$X$4</f>
        <v>27</v>
      </c>
      <c r="Y301" s="3">
        <f>$Y$4</f>
        <v>28</v>
      </c>
      <c r="Z301" s="3">
        <f>$Z$4</f>
        <v>29</v>
      </c>
      <c r="AA301" s="41"/>
      <c r="AC301" s="11"/>
      <c r="AD301" s="12"/>
    </row>
    <row r="302" spans="2:30" x14ac:dyDescent="0.3">
      <c r="B302" s="27" t="s">
        <v>21</v>
      </c>
      <c r="C302" s="4" t="s">
        <v>9</v>
      </c>
      <c r="D302" s="17" t="s">
        <v>29</v>
      </c>
      <c r="E302" s="10">
        <f>AC309/AC305/8</f>
        <v>119.04761904761905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5">
        <f>SUM(F302:Z302)</f>
        <v>0</v>
      </c>
      <c r="AC302" s="13"/>
      <c r="AD302" s="14"/>
    </row>
    <row r="303" spans="2:30" ht="4.8" customHeight="1" x14ac:dyDescent="0.3">
      <c r="B303" s="2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8"/>
    </row>
    <row r="304" spans="2:30" x14ac:dyDescent="0.3">
      <c r="B304" s="27"/>
      <c r="C304" s="29" t="s">
        <v>37</v>
      </c>
      <c r="D304" s="21"/>
      <c r="E304" s="20" t="s">
        <v>31</v>
      </c>
      <c r="F304" s="20"/>
      <c r="G304" s="20"/>
      <c r="H304" s="20"/>
      <c r="I304" s="20" t="s">
        <v>40</v>
      </c>
      <c r="J304" s="20"/>
      <c r="K304" s="20"/>
      <c r="L304" s="20"/>
      <c r="M304" s="20"/>
      <c r="N304" s="20"/>
      <c r="O304" s="20" t="s">
        <v>34</v>
      </c>
      <c r="P304" s="20"/>
      <c r="Q304" s="20"/>
      <c r="R304" s="20"/>
      <c r="S304" s="20"/>
      <c r="T304" s="20"/>
      <c r="U304" s="20" t="s">
        <v>35</v>
      </c>
      <c r="V304" s="20"/>
      <c r="W304" s="20"/>
      <c r="X304" s="20"/>
      <c r="Y304" s="20"/>
      <c r="Z304" s="20"/>
      <c r="AA304" s="9" t="s">
        <v>36</v>
      </c>
      <c r="AC304" s="21" t="s">
        <v>45</v>
      </c>
      <c r="AD304" s="21"/>
    </row>
    <row r="305" spans="2:30" x14ac:dyDescent="0.3">
      <c r="B305" s="27"/>
      <c r="C305" s="29"/>
      <c r="D305" s="21"/>
      <c r="E305" s="22">
        <f>E302*AA302</f>
        <v>0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4">
        <f>E305+I305+O305-U305</f>
        <v>0</v>
      </c>
      <c r="AC305" s="21">
        <f>$AC$8</f>
        <v>21</v>
      </c>
      <c r="AD305" s="21"/>
    </row>
    <row r="306" spans="2:30" x14ac:dyDescent="0.3">
      <c r="B306" s="27"/>
      <c r="C306" s="29"/>
      <c r="D306" s="21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4"/>
      <c r="AC306" s="21"/>
      <c r="AD306" s="21"/>
    </row>
    <row r="307" spans="2:30" ht="4.8" customHeight="1" x14ac:dyDescent="0.3">
      <c r="B307" s="2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8"/>
    </row>
    <row r="308" spans="2:30" x14ac:dyDescent="0.3">
      <c r="B308" s="27"/>
      <c r="C308" s="29" t="s">
        <v>38</v>
      </c>
      <c r="D308" s="21"/>
      <c r="E308" s="20" t="s">
        <v>39</v>
      </c>
      <c r="F308" s="20"/>
      <c r="G308" s="20"/>
      <c r="H308" s="20"/>
      <c r="I308" s="20" t="s">
        <v>41</v>
      </c>
      <c r="J308" s="20"/>
      <c r="K308" s="20"/>
      <c r="L308" s="20"/>
      <c r="M308" s="20"/>
      <c r="N308" s="20"/>
      <c r="O308" s="20" t="s">
        <v>42</v>
      </c>
      <c r="P308" s="20"/>
      <c r="Q308" s="20"/>
      <c r="R308" s="20"/>
      <c r="S308" s="20"/>
      <c r="T308" s="20"/>
      <c r="U308" s="20" t="s">
        <v>43</v>
      </c>
      <c r="V308" s="20"/>
      <c r="W308" s="20"/>
      <c r="X308" s="20"/>
      <c r="Y308" s="20"/>
      <c r="Z308" s="20"/>
      <c r="AA308" s="9" t="s">
        <v>36</v>
      </c>
      <c r="AC308" s="21" t="s">
        <v>46</v>
      </c>
      <c r="AD308" s="21"/>
    </row>
    <row r="309" spans="2:30" x14ac:dyDescent="0.3">
      <c r="B309" s="27"/>
      <c r="C309" s="29"/>
      <c r="D309" s="21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4">
        <f>E309+I309+O309+U309</f>
        <v>0</v>
      </c>
      <c r="AC309" s="26">
        <v>20000</v>
      </c>
      <c r="AD309" s="26"/>
    </row>
    <row r="310" spans="2:30" ht="15" thickBot="1" x14ac:dyDescent="0.35">
      <c r="B310" s="28"/>
      <c r="C310" s="30"/>
      <c r="D310" s="31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5"/>
      <c r="AC310" s="26"/>
      <c r="AD310" s="26"/>
    </row>
    <row r="311" spans="2:30" ht="55.2" hidden="1" customHeight="1" outlineLevel="1" thickBot="1" x14ac:dyDescent="0.35"/>
    <row r="312" spans="2:30" ht="16.8" hidden="1" customHeight="1" outlineLevel="1" x14ac:dyDescent="0.3">
      <c r="B312" s="32" t="s">
        <v>0</v>
      </c>
      <c r="C312" s="34" t="s">
        <v>1</v>
      </c>
      <c r="D312" s="36" t="s">
        <v>27</v>
      </c>
      <c r="E312" s="38" t="s">
        <v>30</v>
      </c>
      <c r="F312" s="34" t="str">
        <f>F299</f>
        <v>Травень 2026р</v>
      </c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40" t="s">
        <v>33</v>
      </c>
    </row>
    <row r="313" spans="2:30" hidden="1" outlineLevel="1" x14ac:dyDescent="0.3">
      <c r="B313" s="33"/>
      <c r="C313" s="35"/>
      <c r="D313" s="37"/>
      <c r="E313" s="39"/>
      <c r="F313" s="3" t="str">
        <f>F300</f>
        <v>ПТ</v>
      </c>
      <c r="G313" s="3" t="str">
        <f t="shared" ref="G313:Z313" si="76">G300</f>
        <v>ПН</v>
      </c>
      <c r="H313" s="3" t="str">
        <f t="shared" si="76"/>
        <v>ВТ</v>
      </c>
      <c r="I313" s="3" t="str">
        <f t="shared" si="76"/>
        <v>СР</v>
      </c>
      <c r="J313" s="3" t="str">
        <f t="shared" si="76"/>
        <v>ЧТ</v>
      </c>
      <c r="K313" s="3" t="str">
        <f t="shared" si="76"/>
        <v>ПТ</v>
      </c>
      <c r="L313" s="3" t="str">
        <f t="shared" si="76"/>
        <v>ПН</v>
      </c>
      <c r="M313" s="3" t="str">
        <f t="shared" si="76"/>
        <v>ВТ</v>
      </c>
      <c r="N313" s="3" t="str">
        <f t="shared" si="76"/>
        <v>СР</v>
      </c>
      <c r="O313" s="3" t="str">
        <f t="shared" si="76"/>
        <v>ЧТ</v>
      </c>
      <c r="P313" s="3" t="str">
        <f t="shared" si="76"/>
        <v>ПТ</v>
      </c>
      <c r="Q313" s="3" t="str">
        <f t="shared" si="76"/>
        <v>ПН</v>
      </c>
      <c r="R313" s="3" t="str">
        <f t="shared" si="76"/>
        <v>ВТ</v>
      </c>
      <c r="S313" s="3" t="str">
        <f t="shared" si="76"/>
        <v>СР</v>
      </c>
      <c r="T313" s="3" t="str">
        <f t="shared" si="76"/>
        <v>ЧТ</v>
      </c>
      <c r="U313" s="3" t="str">
        <f t="shared" si="76"/>
        <v>ПТ</v>
      </c>
      <c r="V313" s="3" t="str">
        <f t="shared" si="76"/>
        <v>ПН</v>
      </c>
      <c r="W313" s="3" t="str">
        <f t="shared" si="76"/>
        <v>ВТ</v>
      </c>
      <c r="X313" s="3" t="str">
        <f t="shared" si="76"/>
        <v>СР</v>
      </c>
      <c r="Y313" s="3" t="str">
        <f t="shared" si="76"/>
        <v>ЧТ</v>
      </c>
      <c r="Z313" s="3" t="str">
        <f t="shared" si="76"/>
        <v>ПТ</v>
      </c>
      <c r="AA313" s="41"/>
    </row>
    <row r="314" spans="2:30" hidden="1" outlineLevel="1" x14ac:dyDescent="0.3">
      <c r="B314" s="33"/>
      <c r="C314" s="35"/>
      <c r="D314" s="37"/>
      <c r="E314" s="39"/>
      <c r="F314" s="3">
        <f>F301</f>
        <v>1</v>
      </c>
      <c r="G314" s="3">
        <f t="shared" ref="G314:X314" si="77">G301</f>
        <v>4</v>
      </c>
      <c r="H314" s="3">
        <f t="shared" si="77"/>
        <v>5</v>
      </c>
      <c r="I314" s="3">
        <f t="shared" si="77"/>
        <v>6</v>
      </c>
      <c r="J314" s="3">
        <f t="shared" si="77"/>
        <v>7</v>
      </c>
      <c r="K314" s="3">
        <f t="shared" si="77"/>
        <v>8</v>
      </c>
      <c r="L314" s="3">
        <f t="shared" si="77"/>
        <v>11</v>
      </c>
      <c r="M314" s="3">
        <f t="shared" si="77"/>
        <v>12</v>
      </c>
      <c r="N314" s="3">
        <f t="shared" si="77"/>
        <v>13</v>
      </c>
      <c r="O314" s="3">
        <f t="shared" si="77"/>
        <v>14</v>
      </c>
      <c r="P314" s="3">
        <f t="shared" si="77"/>
        <v>15</v>
      </c>
      <c r="Q314" s="3">
        <f t="shared" si="77"/>
        <v>18</v>
      </c>
      <c r="R314" s="3">
        <f t="shared" si="77"/>
        <v>19</v>
      </c>
      <c r="S314" s="3">
        <f t="shared" si="77"/>
        <v>20</v>
      </c>
      <c r="T314" s="3">
        <f t="shared" si="77"/>
        <v>21</v>
      </c>
      <c r="U314" s="3">
        <f t="shared" si="77"/>
        <v>22</v>
      </c>
      <c r="V314" s="3">
        <f t="shared" si="77"/>
        <v>25</v>
      </c>
      <c r="W314" s="3">
        <f t="shared" si="77"/>
        <v>26</v>
      </c>
      <c r="X314" s="3">
        <f t="shared" si="77"/>
        <v>27</v>
      </c>
      <c r="Y314" s="3">
        <f>Y301</f>
        <v>28</v>
      </c>
      <c r="Z314" s="3">
        <f t="shared" ref="Z314" si="78">Z301</f>
        <v>29</v>
      </c>
      <c r="AA314" s="41"/>
    </row>
    <row r="315" spans="2:30" hidden="1" outlineLevel="1" x14ac:dyDescent="0.3">
      <c r="B315" s="27" t="str">
        <f>B302</f>
        <v>Кузьо Оксана</v>
      </c>
      <c r="C315" s="4" t="str">
        <f>C302</f>
        <v>оператор устаткування</v>
      </c>
      <c r="D315" s="3" t="str">
        <f>D302</f>
        <v>Ні</v>
      </c>
      <c r="E315" s="10">
        <f>E302</f>
        <v>119.04761904761905</v>
      </c>
      <c r="F315" s="3">
        <f>F302</f>
        <v>0</v>
      </c>
      <c r="G315" s="3">
        <f t="shared" ref="G315:Z315" si="79">G302</f>
        <v>0</v>
      </c>
      <c r="H315" s="3">
        <f t="shared" si="79"/>
        <v>0</v>
      </c>
      <c r="I315" s="3">
        <f t="shared" si="79"/>
        <v>0</v>
      </c>
      <c r="J315" s="3">
        <f t="shared" si="79"/>
        <v>0</v>
      </c>
      <c r="K315" s="3">
        <f t="shared" si="79"/>
        <v>0</v>
      </c>
      <c r="L315" s="3">
        <f t="shared" si="79"/>
        <v>0</v>
      </c>
      <c r="M315" s="3">
        <f t="shared" si="79"/>
        <v>0</v>
      </c>
      <c r="N315" s="3">
        <f t="shared" si="79"/>
        <v>0</v>
      </c>
      <c r="O315" s="3">
        <f t="shared" si="79"/>
        <v>0</v>
      </c>
      <c r="P315" s="3">
        <f t="shared" si="79"/>
        <v>0</v>
      </c>
      <c r="Q315" s="3">
        <f t="shared" si="79"/>
        <v>0</v>
      </c>
      <c r="R315" s="3">
        <f t="shared" si="79"/>
        <v>0</v>
      </c>
      <c r="S315" s="3">
        <f t="shared" si="79"/>
        <v>0</v>
      </c>
      <c r="T315" s="3">
        <f t="shared" si="79"/>
        <v>0</v>
      </c>
      <c r="U315" s="3">
        <f t="shared" si="79"/>
        <v>0</v>
      </c>
      <c r="V315" s="3">
        <f t="shared" si="79"/>
        <v>0</v>
      </c>
      <c r="W315" s="3">
        <f t="shared" si="79"/>
        <v>0</v>
      </c>
      <c r="X315" s="3">
        <f t="shared" si="79"/>
        <v>0</v>
      </c>
      <c r="Y315" s="3">
        <f t="shared" si="79"/>
        <v>0</v>
      </c>
      <c r="Z315" s="3">
        <f t="shared" si="79"/>
        <v>0</v>
      </c>
      <c r="AA315" s="5">
        <f>AA302</f>
        <v>0</v>
      </c>
    </row>
    <row r="316" spans="2:30" ht="7.8" hidden="1" customHeight="1" outlineLevel="1" x14ac:dyDescent="0.3">
      <c r="B316" s="2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8"/>
    </row>
    <row r="317" spans="2:30" hidden="1" outlineLevel="1" x14ac:dyDescent="0.3">
      <c r="B317" s="27"/>
      <c r="C317" s="29" t="s">
        <v>37</v>
      </c>
      <c r="D317" s="21"/>
      <c r="E317" s="20" t="s">
        <v>31</v>
      </c>
      <c r="F317" s="20"/>
      <c r="G317" s="20"/>
      <c r="H317" s="20"/>
      <c r="I317" s="20" t="s">
        <v>40</v>
      </c>
      <c r="J317" s="20"/>
      <c r="K317" s="20"/>
      <c r="L317" s="20"/>
      <c r="M317" s="20"/>
      <c r="N317" s="20"/>
      <c r="O317" s="20" t="s">
        <v>34</v>
      </c>
      <c r="P317" s="20"/>
      <c r="Q317" s="20"/>
      <c r="R317" s="20"/>
      <c r="S317" s="20"/>
      <c r="T317" s="20"/>
      <c r="U317" s="20" t="s">
        <v>35</v>
      </c>
      <c r="V317" s="20"/>
      <c r="W317" s="20"/>
      <c r="X317" s="20"/>
      <c r="Y317" s="20"/>
      <c r="Z317" s="20"/>
      <c r="AA317" s="9" t="s">
        <v>36</v>
      </c>
      <c r="AC317" s="21" t="s">
        <v>45</v>
      </c>
      <c r="AD317" s="21"/>
    </row>
    <row r="318" spans="2:30" hidden="1" outlineLevel="1" x14ac:dyDescent="0.3">
      <c r="B318" s="27"/>
      <c r="C318" s="29"/>
      <c r="D318" s="21"/>
      <c r="E318" s="22">
        <f>E305</f>
        <v>0</v>
      </c>
      <c r="F318" s="22"/>
      <c r="G318" s="22"/>
      <c r="H318" s="22"/>
      <c r="I318" s="22">
        <f>I305</f>
        <v>0</v>
      </c>
      <c r="J318" s="22"/>
      <c r="K318" s="22"/>
      <c r="L318" s="22"/>
      <c r="M318" s="22"/>
      <c r="N318" s="22"/>
      <c r="O318" s="22">
        <f t="shared" ref="O318" si="80">O305</f>
        <v>0</v>
      </c>
      <c r="P318" s="22"/>
      <c r="Q318" s="22"/>
      <c r="R318" s="22"/>
      <c r="S318" s="22"/>
      <c r="T318" s="22"/>
      <c r="U318" s="22">
        <f>U305</f>
        <v>0</v>
      </c>
      <c r="V318" s="22"/>
      <c r="W318" s="22"/>
      <c r="X318" s="22"/>
      <c r="Y318" s="22"/>
      <c r="Z318" s="22"/>
      <c r="AA318" s="24">
        <f>AA305</f>
        <v>0</v>
      </c>
      <c r="AC318" s="21">
        <f>AC305</f>
        <v>21</v>
      </c>
      <c r="AD318" s="21"/>
    </row>
    <row r="319" spans="2:30" hidden="1" outlineLevel="1" x14ac:dyDescent="0.3">
      <c r="B319" s="27"/>
      <c r="C319" s="29"/>
      <c r="D319" s="21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4"/>
      <c r="AC319" s="21"/>
      <c r="AD319" s="21"/>
    </row>
    <row r="320" spans="2:30" ht="7.2" hidden="1" customHeight="1" outlineLevel="1" x14ac:dyDescent="0.3">
      <c r="B320" s="2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8"/>
    </row>
    <row r="321" spans="2:30" hidden="1" outlineLevel="1" x14ac:dyDescent="0.3">
      <c r="B321" s="27"/>
      <c r="C321" s="29" t="s">
        <v>38</v>
      </c>
      <c r="D321" s="21"/>
      <c r="E321" s="20" t="s">
        <v>39</v>
      </c>
      <c r="F321" s="20"/>
      <c r="G321" s="20"/>
      <c r="H321" s="20"/>
      <c r="I321" s="20" t="s">
        <v>41</v>
      </c>
      <c r="J321" s="20"/>
      <c r="K321" s="20"/>
      <c r="L321" s="20"/>
      <c r="M321" s="20"/>
      <c r="N321" s="20"/>
      <c r="O321" s="20" t="s">
        <v>42</v>
      </c>
      <c r="P321" s="20"/>
      <c r="Q321" s="20"/>
      <c r="R321" s="20"/>
      <c r="S321" s="20"/>
      <c r="T321" s="20"/>
      <c r="U321" s="20" t="s">
        <v>43</v>
      </c>
      <c r="V321" s="20"/>
      <c r="W321" s="20"/>
      <c r="X321" s="20"/>
      <c r="Y321" s="20"/>
      <c r="Z321" s="20"/>
      <c r="AA321" s="9" t="s">
        <v>36</v>
      </c>
      <c r="AC321" s="21" t="s">
        <v>46</v>
      </c>
      <c r="AD321" s="21"/>
    </row>
    <row r="322" spans="2:30" hidden="1" outlineLevel="1" x14ac:dyDescent="0.3">
      <c r="B322" s="27"/>
      <c r="C322" s="29"/>
      <c r="D322" s="21"/>
      <c r="E322" s="22">
        <f>E309</f>
        <v>0</v>
      </c>
      <c r="F322" s="22"/>
      <c r="G322" s="22"/>
      <c r="H322" s="22"/>
      <c r="I322" s="22">
        <f>I309</f>
        <v>0</v>
      </c>
      <c r="J322" s="22"/>
      <c r="K322" s="22"/>
      <c r="L322" s="22"/>
      <c r="M322" s="22"/>
      <c r="N322" s="22"/>
      <c r="O322" s="22">
        <f t="shared" ref="O322" si="81">O309</f>
        <v>0</v>
      </c>
      <c r="P322" s="22"/>
      <c r="Q322" s="22"/>
      <c r="R322" s="22"/>
      <c r="S322" s="22"/>
      <c r="T322" s="22"/>
      <c r="U322" s="22">
        <f t="shared" ref="U322" si="82">U309</f>
        <v>0</v>
      </c>
      <c r="V322" s="22"/>
      <c r="W322" s="22"/>
      <c r="X322" s="22"/>
      <c r="Y322" s="22"/>
      <c r="Z322" s="22"/>
      <c r="AA322" s="24">
        <f>AA309</f>
        <v>0</v>
      </c>
      <c r="AC322" s="26">
        <f>AC309</f>
        <v>20000</v>
      </c>
      <c r="AD322" s="26"/>
    </row>
    <row r="323" spans="2:30" ht="15" hidden="1" outlineLevel="1" thickBot="1" x14ac:dyDescent="0.35">
      <c r="B323" s="28"/>
      <c r="C323" s="30"/>
      <c r="D323" s="31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5"/>
      <c r="AC323" s="26"/>
      <c r="AD323" s="26"/>
    </row>
    <row r="324" spans="2:30" s="15" customFormat="1" collapsed="1" x14ac:dyDescent="0.3">
      <c r="B324" s="19"/>
      <c r="D324" s="16"/>
    </row>
    <row r="325" spans="2:30" ht="3.6" customHeight="1" thickBot="1" x14ac:dyDescent="0.35"/>
    <row r="326" spans="2:30" ht="16.8" customHeight="1" x14ac:dyDescent="0.3">
      <c r="B326" s="32" t="s">
        <v>0</v>
      </c>
      <c r="C326" s="34" t="s">
        <v>1</v>
      </c>
      <c r="D326" s="36" t="s">
        <v>27</v>
      </c>
      <c r="E326" s="38" t="s">
        <v>30</v>
      </c>
      <c r="F326" s="44" t="str">
        <f>$F$2</f>
        <v>Травень 2026р</v>
      </c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0" t="s">
        <v>33</v>
      </c>
      <c r="AC326" s="42" t="s">
        <v>47</v>
      </c>
      <c r="AD326" s="43"/>
    </row>
    <row r="327" spans="2:30" x14ac:dyDescent="0.3">
      <c r="B327" s="33"/>
      <c r="C327" s="35"/>
      <c r="D327" s="37"/>
      <c r="E327" s="39"/>
      <c r="F327" s="3" t="str">
        <f>$F$3</f>
        <v>ПТ</v>
      </c>
      <c r="G327" s="3" t="str">
        <f>$G$3</f>
        <v>ПН</v>
      </c>
      <c r="H327" s="3" t="str">
        <f>$H$3</f>
        <v>ВТ</v>
      </c>
      <c r="I327" s="3" t="str">
        <f>$I$3</f>
        <v>СР</v>
      </c>
      <c r="J327" s="3" t="str">
        <f>$J$3</f>
        <v>ЧТ</v>
      </c>
      <c r="K327" s="3" t="str">
        <f>$K$3</f>
        <v>ПТ</v>
      </c>
      <c r="L327" s="3" t="str">
        <f>$L$3</f>
        <v>ПН</v>
      </c>
      <c r="M327" s="3" t="str">
        <f>$M$3</f>
        <v>ВТ</v>
      </c>
      <c r="N327" s="3" t="str">
        <f>$N$3</f>
        <v>СР</v>
      </c>
      <c r="O327" s="3" t="str">
        <f>$O$3</f>
        <v>ЧТ</v>
      </c>
      <c r="P327" s="3" t="str">
        <f>$P$3</f>
        <v>ПТ</v>
      </c>
      <c r="Q327" s="3" t="str">
        <f>$Q$3</f>
        <v>ПН</v>
      </c>
      <c r="R327" s="3" t="str">
        <f>$R$3</f>
        <v>ВТ</v>
      </c>
      <c r="S327" s="3" t="str">
        <f>$S$3</f>
        <v>СР</v>
      </c>
      <c r="T327" s="3" t="str">
        <f>$T$3</f>
        <v>ЧТ</v>
      </c>
      <c r="U327" s="3" t="str">
        <f>$U$3</f>
        <v>ПТ</v>
      </c>
      <c r="V327" s="3" t="str">
        <f>$V$3</f>
        <v>ПН</v>
      </c>
      <c r="W327" s="3" t="str">
        <f>$W$3</f>
        <v>ВТ</v>
      </c>
      <c r="X327" s="3" t="str">
        <f>$X$3</f>
        <v>СР</v>
      </c>
      <c r="Y327" s="3" t="str">
        <f>$Y$3</f>
        <v>ЧТ</v>
      </c>
      <c r="Z327" s="3" t="str">
        <f>$Z$3</f>
        <v>ПТ</v>
      </c>
      <c r="AA327" s="41"/>
      <c r="AC327" s="11"/>
      <c r="AD327" s="12"/>
    </row>
    <row r="328" spans="2:30" x14ac:dyDescent="0.3">
      <c r="B328" s="33"/>
      <c r="C328" s="35"/>
      <c r="D328" s="37"/>
      <c r="E328" s="39"/>
      <c r="F328" s="3">
        <f>$F$4</f>
        <v>1</v>
      </c>
      <c r="G328" s="3">
        <f>$G$4</f>
        <v>4</v>
      </c>
      <c r="H328" s="3">
        <f>$H$4</f>
        <v>5</v>
      </c>
      <c r="I328" s="3">
        <f>$I$4</f>
        <v>6</v>
      </c>
      <c r="J328" s="3">
        <f>$J$4</f>
        <v>7</v>
      </c>
      <c r="K328" s="3">
        <f>$K$4</f>
        <v>8</v>
      </c>
      <c r="L328" s="3">
        <f>$L$4</f>
        <v>11</v>
      </c>
      <c r="M328" s="3">
        <f>$M$4</f>
        <v>12</v>
      </c>
      <c r="N328" s="3">
        <f>$N$4</f>
        <v>13</v>
      </c>
      <c r="O328" s="3">
        <f>$O$4</f>
        <v>14</v>
      </c>
      <c r="P328" s="3">
        <f>$P$4</f>
        <v>15</v>
      </c>
      <c r="Q328" s="3">
        <f>$Q$4</f>
        <v>18</v>
      </c>
      <c r="R328" s="3">
        <f>$R$4</f>
        <v>19</v>
      </c>
      <c r="S328" s="3">
        <f>$S$4</f>
        <v>20</v>
      </c>
      <c r="T328" s="3">
        <f>$T$4</f>
        <v>21</v>
      </c>
      <c r="U328" s="3">
        <f>$U$4</f>
        <v>22</v>
      </c>
      <c r="V328" s="3">
        <f>$V$4</f>
        <v>25</v>
      </c>
      <c r="W328" s="3">
        <f>$W$4</f>
        <v>26</v>
      </c>
      <c r="X328" s="3">
        <f>$X$4</f>
        <v>27</v>
      </c>
      <c r="Y328" s="3">
        <f>$Y$4</f>
        <v>28</v>
      </c>
      <c r="Z328" s="3">
        <f>$Z$4</f>
        <v>29</v>
      </c>
      <c r="AA328" s="41"/>
      <c r="AC328" s="11"/>
      <c r="AD328" s="12"/>
    </row>
    <row r="329" spans="2:30" x14ac:dyDescent="0.3">
      <c r="B329" s="27" t="s">
        <v>22</v>
      </c>
      <c r="C329" s="4" t="s">
        <v>9</v>
      </c>
      <c r="D329" s="17" t="s">
        <v>29</v>
      </c>
      <c r="E329" s="10">
        <f>AC336/AC332/8</f>
        <v>122.02380952380952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5">
        <f>SUM(F329:Z329)</f>
        <v>0</v>
      </c>
      <c r="AC329" s="13"/>
      <c r="AD329" s="14"/>
    </row>
    <row r="330" spans="2:30" ht="4.8" customHeight="1" x14ac:dyDescent="0.3">
      <c r="B330" s="2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8"/>
    </row>
    <row r="331" spans="2:30" x14ac:dyDescent="0.3">
      <c r="B331" s="27"/>
      <c r="C331" s="29" t="s">
        <v>37</v>
      </c>
      <c r="D331" s="21"/>
      <c r="E331" s="20" t="s">
        <v>31</v>
      </c>
      <c r="F331" s="20"/>
      <c r="G331" s="20"/>
      <c r="H331" s="20"/>
      <c r="I331" s="20" t="s">
        <v>40</v>
      </c>
      <c r="J331" s="20"/>
      <c r="K331" s="20"/>
      <c r="L331" s="20"/>
      <c r="M331" s="20"/>
      <c r="N331" s="20"/>
      <c r="O331" s="20" t="s">
        <v>34</v>
      </c>
      <c r="P331" s="20"/>
      <c r="Q331" s="20"/>
      <c r="R331" s="20"/>
      <c r="S331" s="20"/>
      <c r="T331" s="20"/>
      <c r="U331" s="20" t="s">
        <v>35</v>
      </c>
      <c r="V331" s="20"/>
      <c r="W331" s="20"/>
      <c r="X331" s="20"/>
      <c r="Y331" s="20"/>
      <c r="Z331" s="20"/>
      <c r="AA331" s="9" t="s">
        <v>36</v>
      </c>
      <c r="AC331" s="21" t="s">
        <v>45</v>
      </c>
      <c r="AD331" s="21"/>
    </row>
    <row r="332" spans="2:30" x14ac:dyDescent="0.3">
      <c r="B332" s="27"/>
      <c r="C332" s="29"/>
      <c r="D332" s="21"/>
      <c r="E332" s="22">
        <f>E329*AA329</f>
        <v>0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4">
        <f>E332+I332+O332-U332</f>
        <v>0</v>
      </c>
      <c r="AC332" s="21">
        <f>$AC$8</f>
        <v>21</v>
      </c>
      <c r="AD332" s="21"/>
    </row>
    <row r="333" spans="2:30" x14ac:dyDescent="0.3">
      <c r="B333" s="27"/>
      <c r="C333" s="29"/>
      <c r="D333" s="21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4"/>
      <c r="AC333" s="21"/>
      <c r="AD333" s="21"/>
    </row>
    <row r="334" spans="2:30" ht="4.8" customHeight="1" x14ac:dyDescent="0.3">
      <c r="B334" s="2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8"/>
    </row>
    <row r="335" spans="2:30" x14ac:dyDescent="0.3">
      <c r="B335" s="27"/>
      <c r="C335" s="29" t="s">
        <v>38</v>
      </c>
      <c r="D335" s="21"/>
      <c r="E335" s="20" t="s">
        <v>39</v>
      </c>
      <c r="F335" s="20"/>
      <c r="G335" s="20"/>
      <c r="H335" s="20"/>
      <c r="I335" s="20" t="s">
        <v>41</v>
      </c>
      <c r="J335" s="20"/>
      <c r="K335" s="20"/>
      <c r="L335" s="20"/>
      <c r="M335" s="20"/>
      <c r="N335" s="20"/>
      <c r="O335" s="20" t="s">
        <v>42</v>
      </c>
      <c r="P335" s="20"/>
      <c r="Q335" s="20"/>
      <c r="R335" s="20"/>
      <c r="S335" s="20"/>
      <c r="T335" s="20"/>
      <c r="U335" s="20" t="s">
        <v>43</v>
      </c>
      <c r="V335" s="20"/>
      <c r="W335" s="20"/>
      <c r="X335" s="20"/>
      <c r="Y335" s="20"/>
      <c r="Z335" s="20"/>
      <c r="AA335" s="9" t="s">
        <v>36</v>
      </c>
      <c r="AC335" s="21" t="s">
        <v>46</v>
      </c>
      <c r="AD335" s="21"/>
    </row>
    <row r="336" spans="2:30" x14ac:dyDescent="0.3">
      <c r="B336" s="27"/>
      <c r="C336" s="29"/>
      <c r="D336" s="21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4">
        <f>E336+I336+O336+U336</f>
        <v>0</v>
      </c>
      <c r="AC336" s="26">
        <v>20500</v>
      </c>
      <c r="AD336" s="26"/>
    </row>
    <row r="337" spans="2:30" ht="15" thickBot="1" x14ac:dyDescent="0.35">
      <c r="B337" s="28"/>
      <c r="C337" s="30"/>
      <c r="D337" s="31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5"/>
      <c r="AC337" s="26"/>
      <c r="AD337" s="26"/>
    </row>
    <row r="338" spans="2:30" ht="55.2" hidden="1" customHeight="1" outlineLevel="1" thickBot="1" x14ac:dyDescent="0.35"/>
    <row r="339" spans="2:30" ht="16.8" hidden="1" customHeight="1" outlineLevel="1" x14ac:dyDescent="0.3">
      <c r="B339" s="32" t="s">
        <v>0</v>
      </c>
      <c r="C339" s="34" t="s">
        <v>1</v>
      </c>
      <c r="D339" s="36" t="s">
        <v>27</v>
      </c>
      <c r="E339" s="38" t="s">
        <v>30</v>
      </c>
      <c r="F339" s="34" t="str">
        <f>F326</f>
        <v>Травень 2026р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40" t="s">
        <v>33</v>
      </c>
    </row>
    <row r="340" spans="2:30" hidden="1" outlineLevel="1" x14ac:dyDescent="0.3">
      <c r="B340" s="33"/>
      <c r="C340" s="35"/>
      <c r="D340" s="37"/>
      <c r="E340" s="39"/>
      <c r="F340" s="3" t="str">
        <f>F327</f>
        <v>ПТ</v>
      </c>
      <c r="G340" s="3" t="str">
        <f t="shared" ref="G340:Z340" si="83">G327</f>
        <v>ПН</v>
      </c>
      <c r="H340" s="3" t="str">
        <f t="shared" si="83"/>
        <v>ВТ</v>
      </c>
      <c r="I340" s="3" t="str">
        <f t="shared" si="83"/>
        <v>СР</v>
      </c>
      <c r="J340" s="3" t="str">
        <f t="shared" si="83"/>
        <v>ЧТ</v>
      </c>
      <c r="K340" s="3" t="str">
        <f t="shared" si="83"/>
        <v>ПТ</v>
      </c>
      <c r="L340" s="3" t="str">
        <f t="shared" si="83"/>
        <v>ПН</v>
      </c>
      <c r="M340" s="3" t="str">
        <f t="shared" si="83"/>
        <v>ВТ</v>
      </c>
      <c r="N340" s="3" t="str">
        <f t="shared" si="83"/>
        <v>СР</v>
      </c>
      <c r="O340" s="3" t="str">
        <f t="shared" si="83"/>
        <v>ЧТ</v>
      </c>
      <c r="P340" s="3" t="str">
        <f t="shared" si="83"/>
        <v>ПТ</v>
      </c>
      <c r="Q340" s="3" t="str">
        <f t="shared" si="83"/>
        <v>ПН</v>
      </c>
      <c r="R340" s="3" t="str">
        <f t="shared" si="83"/>
        <v>ВТ</v>
      </c>
      <c r="S340" s="3" t="str">
        <f t="shared" si="83"/>
        <v>СР</v>
      </c>
      <c r="T340" s="3" t="str">
        <f t="shared" si="83"/>
        <v>ЧТ</v>
      </c>
      <c r="U340" s="3" t="str">
        <f t="shared" si="83"/>
        <v>ПТ</v>
      </c>
      <c r="V340" s="3" t="str">
        <f t="shared" si="83"/>
        <v>ПН</v>
      </c>
      <c r="W340" s="3" t="str">
        <f t="shared" si="83"/>
        <v>ВТ</v>
      </c>
      <c r="X340" s="3" t="str">
        <f t="shared" si="83"/>
        <v>СР</v>
      </c>
      <c r="Y340" s="3" t="str">
        <f t="shared" si="83"/>
        <v>ЧТ</v>
      </c>
      <c r="Z340" s="3" t="str">
        <f t="shared" si="83"/>
        <v>ПТ</v>
      </c>
      <c r="AA340" s="41"/>
    </row>
    <row r="341" spans="2:30" hidden="1" outlineLevel="1" x14ac:dyDescent="0.3">
      <c r="B341" s="33"/>
      <c r="C341" s="35"/>
      <c r="D341" s="37"/>
      <c r="E341" s="39"/>
      <c r="F341" s="3">
        <f>F328</f>
        <v>1</v>
      </c>
      <c r="G341" s="3">
        <f t="shared" ref="G341:X341" si="84">G328</f>
        <v>4</v>
      </c>
      <c r="H341" s="3">
        <f t="shared" si="84"/>
        <v>5</v>
      </c>
      <c r="I341" s="3">
        <f t="shared" si="84"/>
        <v>6</v>
      </c>
      <c r="J341" s="3">
        <f t="shared" si="84"/>
        <v>7</v>
      </c>
      <c r="K341" s="3">
        <f t="shared" si="84"/>
        <v>8</v>
      </c>
      <c r="L341" s="3">
        <f t="shared" si="84"/>
        <v>11</v>
      </c>
      <c r="M341" s="3">
        <f t="shared" si="84"/>
        <v>12</v>
      </c>
      <c r="N341" s="3">
        <f t="shared" si="84"/>
        <v>13</v>
      </c>
      <c r="O341" s="3">
        <f t="shared" si="84"/>
        <v>14</v>
      </c>
      <c r="P341" s="3">
        <f t="shared" si="84"/>
        <v>15</v>
      </c>
      <c r="Q341" s="3">
        <f t="shared" si="84"/>
        <v>18</v>
      </c>
      <c r="R341" s="3">
        <f t="shared" si="84"/>
        <v>19</v>
      </c>
      <c r="S341" s="3">
        <f t="shared" si="84"/>
        <v>20</v>
      </c>
      <c r="T341" s="3">
        <f t="shared" si="84"/>
        <v>21</v>
      </c>
      <c r="U341" s="3">
        <f t="shared" si="84"/>
        <v>22</v>
      </c>
      <c r="V341" s="3">
        <f t="shared" si="84"/>
        <v>25</v>
      </c>
      <c r="W341" s="3">
        <f t="shared" si="84"/>
        <v>26</v>
      </c>
      <c r="X341" s="3">
        <f t="shared" si="84"/>
        <v>27</v>
      </c>
      <c r="Y341" s="3">
        <f>Y328</f>
        <v>28</v>
      </c>
      <c r="Z341" s="3">
        <f t="shared" ref="Z341" si="85">Z328</f>
        <v>29</v>
      </c>
      <c r="AA341" s="41"/>
    </row>
    <row r="342" spans="2:30" hidden="1" outlineLevel="1" x14ac:dyDescent="0.3">
      <c r="B342" s="27" t="str">
        <f>B329</f>
        <v>Зарецький Владислав</v>
      </c>
      <c r="C342" s="4" t="str">
        <f>C329</f>
        <v>оператор устаткування</v>
      </c>
      <c r="D342" s="3" t="str">
        <f>D329</f>
        <v>Ні</v>
      </c>
      <c r="E342" s="10">
        <f>E329</f>
        <v>122.02380952380952</v>
      </c>
      <c r="F342" s="3">
        <f>F329</f>
        <v>0</v>
      </c>
      <c r="G342" s="3">
        <f t="shared" ref="G342:Z342" si="86">G329</f>
        <v>0</v>
      </c>
      <c r="H342" s="3">
        <f t="shared" si="86"/>
        <v>0</v>
      </c>
      <c r="I342" s="3">
        <f t="shared" si="86"/>
        <v>0</v>
      </c>
      <c r="J342" s="3">
        <f t="shared" si="86"/>
        <v>0</v>
      </c>
      <c r="K342" s="3">
        <f t="shared" si="86"/>
        <v>0</v>
      </c>
      <c r="L342" s="3">
        <f t="shared" si="86"/>
        <v>0</v>
      </c>
      <c r="M342" s="3">
        <f t="shared" si="86"/>
        <v>0</v>
      </c>
      <c r="N342" s="3">
        <f t="shared" si="86"/>
        <v>0</v>
      </c>
      <c r="O342" s="3">
        <f t="shared" si="86"/>
        <v>0</v>
      </c>
      <c r="P342" s="3">
        <f t="shared" si="86"/>
        <v>0</v>
      </c>
      <c r="Q342" s="3">
        <f t="shared" si="86"/>
        <v>0</v>
      </c>
      <c r="R342" s="3">
        <f t="shared" si="86"/>
        <v>0</v>
      </c>
      <c r="S342" s="3">
        <f t="shared" si="86"/>
        <v>0</v>
      </c>
      <c r="T342" s="3">
        <f t="shared" si="86"/>
        <v>0</v>
      </c>
      <c r="U342" s="3">
        <f t="shared" si="86"/>
        <v>0</v>
      </c>
      <c r="V342" s="3">
        <f t="shared" si="86"/>
        <v>0</v>
      </c>
      <c r="W342" s="3">
        <f t="shared" si="86"/>
        <v>0</v>
      </c>
      <c r="X342" s="3">
        <f t="shared" si="86"/>
        <v>0</v>
      </c>
      <c r="Y342" s="3">
        <f t="shared" si="86"/>
        <v>0</v>
      </c>
      <c r="Z342" s="3">
        <f t="shared" si="86"/>
        <v>0</v>
      </c>
      <c r="AA342" s="5">
        <f>AA329</f>
        <v>0</v>
      </c>
    </row>
    <row r="343" spans="2:30" ht="7.8" hidden="1" customHeight="1" outlineLevel="1" x14ac:dyDescent="0.3">
      <c r="B343" s="2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8"/>
    </row>
    <row r="344" spans="2:30" hidden="1" outlineLevel="1" x14ac:dyDescent="0.3">
      <c r="B344" s="27"/>
      <c r="C344" s="29" t="s">
        <v>37</v>
      </c>
      <c r="D344" s="21"/>
      <c r="E344" s="20" t="s">
        <v>31</v>
      </c>
      <c r="F344" s="20"/>
      <c r="G344" s="20"/>
      <c r="H344" s="20"/>
      <c r="I344" s="20" t="s">
        <v>40</v>
      </c>
      <c r="J344" s="20"/>
      <c r="K344" s="20"/>
      <c r="L344" s="20"/>
      <c r="M344" s="20"/>
      <c r="N344" s="20"/>
      <c r="O344" s="20" t="s">
        <v>34</v>
      </c>
      <c r="P344" s="20"/>
      <c r="Q344" s="20"/>
      <c r="R344" s="20"/>
      <c r="S344" s="20"/>
      <c r="T344" s="20"/>
      <c r="U344" s="20" t="s">
        <v>35</v>
      </c>
      <c r="V344" s="20"/>
      <c r="W344" s="20"/>
      <c r="X344" s="20"/>
      <c r="Y344" s="20"/>
      <c r="Z344" s="20"/>
      <c r="AA344" s="9" t="s">
        <v>36</v>
      </c>
      <c r="AC344" s="21" t="s">
        <v>45</v>
      </c>
      <c r="AD344" s="21"/>
    </row>
    <row r="345" spans="2:30" hidden="1" outlineLevel="1" x14ac:dyDescent="0.3">
      <c r="B345" s="27"/>
      <c r="C345" s="29"/>
      <c r="D345" s="21"/>
      <c r="E345" s="22">
        <f>E332</f>
        <v>0</v>
      </c>
      <c r="F345" s="22"/>
      <c r="G345" s="22"/>
      <c r="H345" s="22"/>
      <c r="I345" s="22">
        <f>I332</f>
        <v>0</v>
      </c>
      <c r="J345" s="22"/>
      <c r="K345" s="22"/>
      <c r="L345" s="22"/>
      <c r="M345" s="22"/>
      <c r="N345" s="22"/>
      <c r="O345" s="22">
        <f t="shared" ref="O345" si="87">O332</f>
        <v>0</v>
      </c>
      <c r="P345" s="22"/>
      <c r="Q345" s="22"/>
      <c r="R345" s="22"/>
      <c r="S345" s="22"/>
      <c r="T345" s="22"/>
      <c r="U345" s="22">
        <f>U332</f>
        <v>0</v>
      </c>
      <c r="V345" s="22"/>
      <c r="W345" s="22"/>
      <c r="X345" s="22"/>
      <c r="Y345" s="22"/>
      <c r="Z345" s="22"/>
      <c r="AA345" s="24">
        <f>AA332</f>
        <v>0</v>
      </c>
      <c r="AC345" s="21">
        <f>AC332</f>
        <v>21</v>
      </c>
      <c r="AD345" s="21"/>
    </row>
    <row r="346" spans="2:30" hidden="1" outlineLevel="1" x14ac:dyDescent="0.3">
      <c r="B346" s="27"/>
      <c r="C346" s="29"/>
      <c r="D346" s="21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4"/>
      <c r="AC346" s="21"/>
      <c r="AD346" s="21"/>
    </row>
    <row r="347" spans="2:30" ht="7.2" hidden="1" customHeight="1" outlineLevel="1" x14ac:dyDescent="0.3">
      <c r="B347" s="2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8"/>
    </row>
    <row r="348" spans="2:30" hidden="1" outlineLevel="1" x14ac:dyDescent="0.3">
      <c r="B348" s="27"/>
      <c r="C348" s="29" t="s">
        <v>38</v>
      </c>
      <c r="D348" s="21"/>
      <c r="E348" s="20" t="s">
        <v>39</v>
      </c>
      <c r="F348" s="20"/>
      <c r="G348" s="20"/>
      <c r="H348" s="20"/>
      <c r="I348" s="20" t="s">
        <v>41</v>
      </c>
      <c r="J348" s="20"/>
      <c r="K348" s="20"/>
      <c r="L348" s="20"/>
      <c r="M348" s="20"/>
      <c r="N348" s="20"/>
      <c r="O348" s="20" t="s">
        <v>42</v>
      </c>
      <c r="P348" s="20"/>
      <c r="Q348" s="20"/>
      <c r="R348" s="20"/>
      <c r="S348" s="20"/>
      <c r="T348" s="20"/>
      <c r="U348" s="20" t="s">
        <v>43</v>
      </c>
      <c r="V348" s="20"/>
      <c r="W348" s="20"/>
      <c r="X348" s="20"/>
      <c r="Y348" s="20"/>
      <c r="Z348" s="20"/>
      <c r="AA348" s="9" t="s">
        <v>36</v>
      </c>
      <c r="AC348" s="21" t="s">
        <v>46</v>
      </c>
      <c r="AD348" s="21"/>
    </row>
    <row r="349" spans="2:30" hidden="1" outlineLevel="1" x14ac:dyDescent="0.3">
      <c r="B349" s="27"/>
      <c r="C349" s="29"/>
      <c r="D349" s="21"/>
      <c r="E349" s="22">
        <f>E336</f>
        <v>0</v>
      </c>
      <c r="F349" s="22"/>
      <c r="G349" s="22"/>
      <c r="H349" s="22"/>
      <c r="I349" s="22">
        <f>I336</f>
        <v>0</v>
      </c>
      <c r="J349" s="22"/>
      <c r="K349" s="22"/>
      <c r="L349" s="22"/>
      <c r="M349" s="22"/>
      <c r="N349" s="22"/>
      <c r="O349" s="22">
        <f t="shared" ref="O349" si="88">O336</f>
        <v>0</v>
      </c>
      <c r="P349" s="22"/>
      <c r="Q349" s="22"/>
      <c r="R349" s="22"/>
      <c r="S349" s="22"/>
      <c r="T349" s="22"/>
      <c r="U349" s="22">
        <f t="shared" ref="U349" si="89">U336</f>
        <v>0</v>
      </c>
      <c r="V349" s="22"/>
      <c r="W349" s="22"/>
      <c r="X349" s="22"/>
      <c r="Y349" s="22"/>
      <c r="Z349" s="22"/>
      <c r="AA349" s="24">
        <f>AA336</f>
        <v>0</v>
      </c>
      <c r="AC349" s="26">
        <f>AC336</f>
        <v>20500</v>
      </c>
      <c r="AD349" s="26"/>
    </row>
    <row r="350" spans="2:30" ht="15" hidden="1" outlineLevel="1" thickBot="1" x14ac:dyDescent="0.35">
      <c r="B350" s="28"/>
      <c r="C350" s="30"/>
      <c r="D350" s="31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5"/>
      <c r="AC350" s="26"/>
      <c r="AD350" s="26"/>
    </row>
    <row r="351" spans="2:30" s="15" customFormat="1" collapsed="1" x14ac:dyDescent="0.3">
      <c r="B351" s="19"/>
      <c r="D351" s="16"/>
    </row>
    <row r="352" spans="2:30" ht="3.6" customHeight="1" thickBot="1" x14ac:dyDescent="0.35"/>
    <row r="353" spans="2:30" ht="16.8" customHeight="1" x14ac:dyDescent="0.3">
      <c r="B353" s="32" t="s">
        <v>0</v>
      </c>
      <c r="C353" s="34" t="s">
        <v>1</v>
      </c>
      <c r="D353" s="36" t="s">
        <v>27</v>
      </c>
      <c r="E353" s="38" t="s">
        <v>30</v>
      </c>
      <c r="F353" s="44" t="str">
        <f>$F$2</f>
        <v>Травень 2026р</v>
      </c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0" t="s">
        <v>33</v>
      </c>
      <c r="AC353" s="42" t="s">
        <v>47</v>
      </c>
      <c r="AD353" s="43"/>
    </row>
    <row r="354" spans="2:30" x14ac:dyDescent="0.3">
      <c r="B354" s="33"/>
      <c r="C354" s="35"/>
      <c r="D354" s="37"/>
      <c r="E354" s="39"/>
      <c r="F354" s="3" t="str">
        <f>$F$3</f>
        <v>ПТ</v>
      </c>
      <c r="G354" s="3" t="str">
        <f>$G$3</f>
        <v>ПН</v>
      </c>
      <c r="H354" s="3" t="str">
        <f>$H$3</f>
        <v>ВТ</v>
      </c>
      <c r="I354" s="3" t="str">
        <f>$I$3</f>
        <v>СР</v>
      </c>
      <c r="J354" s="3" t="str">
        <f>$J$3</f>
        <v>ЧТ</v>
      </c>
      <c r="K354" s="3" t="str">
        <f>$K$3</f>
        <v>ПТ</v>
      </c>
      <c r="L354" s="3" t="str">
        <f>$L$3</f>
        <v>ПН</v>
      </c>
      <c r="M354" s="3" t="str">
        <f>$M$3</f>
        <v>ВТ</v>
      </c>
      <c r="N354" s="3" t="str">
        <f>$N$3</f>
        <v>СР</v>
      </c>
      <c r="O354" s="3" t="str">
        <f>$O$3</f>
        <v>ЧТ</v>
      </c>
      <c r="P354" s="3" t="str">
        <f>$P$3</f>
        <v>ПТ</v>
      </c>
      <c r="Q354" s="3" t="str">
        <f>$Q$3</f>
        <v>ПН</v>
      </c>
      <c r="R354" s="3" t="str">
        <f>$R$3</f>
        <v>ВТ</v>
      </c>
      <c r="S354" s="3" t="str">
        <f>$S$3</f>
        <v>СР</v>
      </c>
      <c r="T354" s="3" t="str">
        <f>$T$3</f>
        <v>ЧТ</v>
      </c>
      <c r="U354" s="3" t="str">
        <f>$U$3</f>
        <v>ПТ</v>
      </c>
      <c r="V354" s="3" t="str">
        <f>$V$3</f>
        <v>ПН</v>
      </c>
      <c r="W354" s="3" t="str">
        <f>$W$3</f>
        <v>ВТ</v>
      </c>
      <c r="X354" s="3" t="str">
        <f>$X$3</f>
        <v>СР</v>
      </c>
      <c r="Y354" s="3" t="str">
        <f>$Y$3</f>
        <v>ЧТ</v>
      </c>
      <c r="Z354" s="3" t="str">
        <f>$Z$3</f>
        <v>ПТ</v>
      </c>
      <c r="AA354" s="41"/>
      <c r="AC354" s="11"/>
      <c r="AD354" s="12"/>
    </row>
    <row r="355" spans="2:30" x14ac:dyDescent="0.3">
      <c r="B355" s="33"/>
      <c r="C355" s="35"/>
      <c r="D355" s="37"/>
      <c r="E355" s="39"/>
      <c r="F355" s="3">
        <f>$F$4</f>
        <v>1</v>
      </c>
      <c r="G355" s="3">
        <f>$G$4</f>
        <v>4</v>
      </c>
      <c r="H355" s="3">
        <f>$H$4</f>
        <v>5</v>
      </c>
      <c r="I355" s="3">
        <f>$I$4</f>
        <v>6</v>
      </c>
      <c r="J355" s="3">
        <f>$J$4</f>
        <v>7</v>
      </c>
      <c r="K355" s="3">
        <f>$K$4</f>
        <v>8</v>
      </c>
      <c r="L355" s="3">
        <f>$L$4</f>
        <v>11</v>
      </c>
      <c r="M355" s="3">
        <f>$M$4</f>
        <v>12</v>
      </c>
      <c r="N355" s="3">
        <f>$N$4</f>
        <v>13</v>
      </c>
      <c r="O355" s="3">
        <f>$O$4</f>
        <v>14</v>
      </c>
      <c r="P355" s="3">
        <f>$P$4</f>
        <v>15</v>
      </c>
      <c r="Q355" s="3">
        <f>$Q$4</f>
        <v>18</v>
      </c>
      <c r="R355" s="3">
        <f>$R$4</f>
        <v>19</v>
      </c>
      <c r="S355" s="3">
        <f>$S$4</f>
        <v>20</v>
      </c>
      <c r="T355" s="3">
        <f>$T$4</f>
        <v>21</v>
      </c>
      <c r="U355" s="3">
        <f>$U$4</f>
        <v>22</v>
      </c>
      <c r="V355" s="3">
        <f>$V$4</f>
        <v>25</v>
      </c>
      <c r="W355" s="3">
        <f>$W$4</f>
        <v>26</v>
      </c>
      <c r="X355" s="3">
        <f>$X$4</f>
        <v>27</v>
      </c>
      <c r="Y355" s="3">
        <f>$Y$4</f>
        <v>28</v>
      </c>
      <c r="Z355" s="3">
        <f>$Z$4</f>
        <v>29</v>
      </c>
      <c r="AA355" s="41"/>
      <c r="AC355" s="11"/>
      <c r="AD355" s="12"/>
    </row>
    <row r="356" spans="2:30" x14ac:dyDescent="0.3">
      <c r="B356" s="27" t="s">
        <v>23</v>
      </c>
      <c r="C356" s="4" t="s">
        <v>9</v>
      </c>
      <c r="D356" s="17" t="s">
        <v>29</v>
      </c>
      <c r="E356" s="10">
        <f>AC363/AC359/8</f>
        <v>122.02380952380952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5">
        <f>SUM(F356:Z356)</f>
        <v>0</v>
      </c>
      <c r="AC356" s="13"/>
      <c r="AD356" s="14"/>
    </row>
    <row r="357" spans="2:30" ht="4.8" customHeight="1" x14ac:dyDescent="0.3">
      <c r="B357" s="2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8"/>
    </row>
    <row r="358" spans="2:30" x14ac:dyDescent="0.3">
      <c r="B358" s="27"/>
      <c r="C358" s="29" t="s">
        <v>37</v>
      </c>
      <c r="D358" s="21"/>
      <c r="E358" s="20" t="s">
        <v>31</v>
      </c>
      <c r="F358" s="20"/>
      <c r="G358" s="20"/>
      <c r="H358" s="20"/>
      <c r="I358" s="20" t="s">
        <v>40</v>
      </c>
      <c r="J358" s="20"/>
      <c r="K358" s="20"/>
      <c r="L358" s="20"/>
      <c r="M358" s="20"/>
      <c r="N358" s="20"/>
      <c r="O358" s="20" t="s">
        <v>34</v>
      </c>
      <c r="P358" s="20"/>
      <c r="Q358" s="20"/>
      <c r="R358" s="20"/>
      <c r="S358" s="20"/>
      <c r="T358" s="20"/>
      <c r="U358" s="20" t="s">
        <v>35</v>
      </c>
      <c r="V358" s="20"/>
      <c r="W358" s="20"/>
      <c r="X358" s="20"/>
      <c r="Y358" s="20"/>
      <c r="Z358" s="20"/>
      <c r="AA358" s="9" t="s">
        <v>36</v>
      </c>
      <c r="AC358" s="21" t="s">
        <v>45</v>
      </c>
      <c r="AD358" s="21"/>
    </row>
    <row r="359" spans="2:30" x14ac:dyDescent="0.3">
      <c r="B359" s="27"/>
      <c r="C359" s="29"/>
      <c r="D359" s="21"/>
      <c r="E359" s="22">
        <f>E356*AA356</f>
        <v>0</v>
      </c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4">
        <f>E359+I359+O359-U359</f>
        <v>0</v>
      </c>
      <c r="AC359" s="21">
        <f>$AC$8</f>
        <v>21</v>
      </c>
      <c r="AD359" s="21"/>
    </row>
    <row r="360" spans="2:30" x14ac:dyDescent="0.3">
      <c r="B360" s="27"/>
      <c r="C360" s="29"/>
      <c r="D360" s="21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4"/>
      <c r="AC360" s="21"/>
      <c r="AD360" s="21"/>
    </row>
    <row r="361" spans="2:30" ht="4.8" customHeight="1" x14ac:dyDescent="0.3">
      <c r="B361" s="2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8"/>
    </row>
    <row r="362" spans="2:30" x14ac:dyDescent="0.3">
      <c r="B362" s="27"/>
      <c r="C362" s="29" t="s">
        <v>38</v>
      </c>
      <c r="D362" s="21"/>
      <c r="E362" s="20" t="s">
        <v>39</v>
      </c>
      <c r="F362" s="20"/>
      <c r="G362" s="20"/>
      <c r="H362" s="20"/>
      <c r="I362" s="20" t="s">
        <v>41</v>
      </c>
      <c r="J362" s="20"/>
      <c r="K362" s="20"/>
      <c r="L362" s="20"/>
      <c r="M362" s="20"/>
      <c r="N362" s="20"/>
      <c r="O362" s="20" t="s">
        <v>42</v>
      </c>
      <c r="P362" s="20"/>
      <c r="Q362" s="20"/>
      <c r="R362" s="20"/>
      <c r="S362" s="20"/>
      <c r="T362" s="20"/>
      <c r="U362" s="20" t="s">
        <v>43</v>
      </c>
      <c r="V362" s="20"/>
      <c r="W362" s="20"/>
      <c r="X362" s="20"/>
      <c r="Y362" s="20"/>
      <c r="Z362" s="20"/>
      <c r="AA362" s="9" t="s">
        <v>36</v>
      </c>
      <c r="AC362" s="21" t="s">
        <v>46</v>
      </c>
      <c r="AD362" s="21"/>
    </row>
    <row r="363" spans="2:30" x14ac:dyDescent="0.3">
      <c r="B363" s="27"/>
      <c r="C363" s="29"/>
      <c r="D363" s="21"/>
      <c r="E363" s="22"/>
      <c r="F363" s="22"/>
      <c r="G363" s="22"/>
      <c r="H363" s="22"/>
      <c r="I363" s="22">
        <f>2500</f>
        <v>2500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4">
        <f>E363+I363+O363+U363</f>
        <v>2500</v>
      </c>
      <c r="AC363" s="26">
        <v>20500</v>
      </c>
      <c r="AD363" s="26"/>
    </row>
    <row r="364" spans="2:30" ht="15" thickBot="1" x14ac:dyDescent="0.35">
      <c r="B364" s="28"/>
      <c r="C364" s="30"/>
      <c r="D364" s="31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5"/>
      <c r="AC364" s="26"/>
      <c r="AD364" s="26"/>
    </row>
    <row r="365" spans="2:30" ht="55.2" hidden="1" customHeight="1" outlineLevel="1" thickBot="1" x14ac:dyDescent="0.35"/>
    <row r="366" spans="2:30" ht="16.8" hidden="1" customHeight="1" outlineLevel="1" x14ac:dyDescent="0.3">
      <c r="B366" s="32" t="s">
        <v>0</v>
      </c>
      <c r="C366" s="34" t="s">
        <v>1</v>
      </c>
      <c r="D366" s="36" t="s">
        <v>27</v>
      </c>
      <c r="E366" s="38" t="s">
        <v>30</v>
      </c>
      <c r="F366" s="34" t="str">
        <f>F353</f>
        <v>Травень 2026р</v>
      </c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40" t="s">
        <v>33</v>
      </c>
    </row>
    <row r="367" spans="2:30" hidden="1" outlineLevel="1" x14ac:dyDescent="0.3">
      <c r="B367" s="33"/>
      <c r="C367" s="35"/>
      <c r="D367" s="37"/>
      <c r="E367" s="39"/>
      <c r="F367" s="3" t="str">
        <f>F354</f>
        <v>ПТ</v>
      </c>
      <c r="G367" s="3" t="str">
        <f t="shared" ref="G367:Z367" si="90">G354</f>
        <v>ПН</v>
      </c>
      <c r="H367" s="3" t="str">
        <f t="shared" si="90"/>
        <v>ВТ</v>
      </c>
      <c r="I367" s="3" t="str">
        <f t="shared" si="90"/>
        <v>СР</v>
      </c>
      <c r="J367" s="3" t="str">
        <f t="shared" si="90"/>
        <v>ЧТ</v>
      </c>
      <c r="K367" s="3" t="str">
        <f t="shared" si="90"/>
        <v>ПТ</v>
      </c>
      <c r="L367" s="3" t="str">
        <f t="shared" si="90"/>
        <v>ПН</v>
      </c>
      <c r="M367" s="3" t="str">
        <f t="shared" si="90"/>
        <v>ВТ</v>
      </c>
      <c r="N367" s="3" t="str">
        <f t="shared" si="90"/>
        <v>СР</v>
      </c>
      <c r="O367" s="3" t="str">
        <f t="shared" si="90"/>
        <v>ЧТ</v>
      </c>
      <c r="P367" s="3" t="str">
        <f t="shared" si="90"/>
        <v>ПТ</v>
      </c>
      <c r="Q367" s="3" t="str">
        <f t="shared" si="90"/>
        <v>ПН</v>
      </c>
      <c r="R367" s="3" t="str">
        <f t="shared" si="90"/>
        <v>ВТ</v>
      </c>
      <c r="S367" s="3" t="str">
        <f t="shared" si="90"/>
        <v>СР</v>
      </c>
      <c r="T367" s="3" t="str">
        <f t="shared" si="90"/>
        <v>ЧТ</v>
      </c>
      <c r="U367" s="3" t="str">
        <f t="shared" si="90"/>
        <v>ПТ</v>
      </c>
      <c r="V367" s="3" t="str">
        <f t="shared" si="90"/>
        <v>ПН</v>
      </c>
      <c r="W367" s="3" t="str">
        <f t="shared" si="90"/>
        <v>ВТ</v>
      </c>
      <c r="X367" s="3" t="str">
        <f t="shared" si="90"/>
        <v>СР</v>
      </c>
      <c r="Y367" s="3" t="str">
        <f t="shared" si="90"/>
        <v>ЧТ</v>
      </c>
      <c r="Z367" s="3" t="str">
        <f t="shared" si="90"/>
        <v>ПТ</v>
      </c>
      <c r="AA367" s="41"/>
    </row>
    <row r="368" spans="2:30" hidden="1" outlineLevel="1" x14ac:dyDescent="0.3">
      <c r="B368" s="33"/>
      <c r="C368" s="35"/>
      <c r="D368" s="37"/>
      <c r="E368" s="39"/>
      <c r="F368" s="3">
        <f>F355</f>
        <v>1</v>
      </c>
      <c r="G368" s="3">
        <f t="shared" ref="G368:X368" si="91">G355</f>
        <v>4</v>
      </c>
      <c r="H368" s="3">
        <f t="shared" si="91"/>
        <v>5</v>
      </c>
      <c r="I368" s="3">
        <f t="shared" si="91"/>
        <v>6</v>
      </c>
      <c r="J368" s="3">
        <f t="shared" si="91"/>
        <v>7</v>
      </c>
      <c r="K368" s="3">
        <f t="shared" si="91"/>
        <v>8</v>
      </c>
      <c r="L368" s="3">
        <f t="shared" si="91"/>
        <v>11</v>
      </c>
      <c r="M368" s="3">
        <f t="shared" si="91"/>
        <v>12</v>
      </c>
      <c r="N368" s="3">
        <f t="shared" si="91"/>
        <v>13</v>
      </c>
      <c r="O368" s="3">
        <f t="shared" si="91"/>
        <v>14</v>
      </c>
      <c r="P368" s="3">
        <f t="shared" si="91"/>
        <v>15</v>
      </c>
      <c r="Q368" s="3">
        <f t="shared" si="91"/>
        <v>18</v>
      </c>
      <c r="R368" s="3">
        <f t="shared" si="91"/>
        <v>19</v>
      </c>
      <c r="S368" s="3">
        <f t="shared" si="91"/>
        <v>20</v>
      </c>
      <c r="T368" s="3">
        <f t="shared" si="91"/>
        <v>21</v>
      </c>
      <c r="U368" s="3">
        <f t="shared" si="91"/>
        <v>22</v>
      </c>
      <c r="V368" s="3">
        <f t="shared" si="91"/>
        <v>25</v>
      </c>
      <c r="W368" s="3">
        <f t="shared" si="91"/>
        <v>26</v>
      </c>
      <c r="X368" s="3">
        <f t="shared" si="91"/>
        <v>27</v>
      </c>
      <c r="Y368" s="3">
        <f>Y355</f>
        <v>28</v>
      </c>
      <c r="Z368" s="3">
        <f t="shared" ref="Z368" si="92">Z355</f>
        <v>29</v>
      </c>
      <c r="AA368" s="41"/>
    </row>
    <row r="369" spans="2:30" hidden="1" outlineLevel="1" x14ac:dyDescent="0.3">
      <c r="B369" s="27" t="str">
        <f>B356</f>
        <v>Цокол Констянтин</v>
      </c>
      <c r="C369" s="4" t="str">
        <f>C356</f>
        <v>оператор устаткування</v>
      </c>
      <c r="D369" s="3" t="str">
        <f>D356</f>
        <v>Ні</v>
      </c>
      <c r="E369" s="10">
        <f>E356</f>
        <v>122.02380952380952</v>
      </c>
      <c r="F369" s="3">
        <f>F356</f>
        <v>0</v>
      </c>
      <c r="G369" s="3">
        <f t="shared" ref="G369:Z369" si="93">G356</f>
        <v>0</v>
      </c>
      <c r="H369" s="3">
        <f t="shared" si="93"/>
        <v>0</v>
      </c>
      <c r="I369" s="3">
        <f t="shared" si="93"/>
        <v>0</v>
      </c>
      <c r="J369" s="3">
        <f t="shared" si="93"/>
        <v>0</v>
      </c>
      <c r="K369" s="3">
        <f t="shared" si="93"/>
        <v>0</v>
      </c>
      <c r="L369" s="3">
        <f t="shared" si="93"/>
        <v>0</v>
      </c>
      <c r="M369" s="3">
        <f t="shared" si="93"/>
        <v>0</v>
      </c>
      <c r="N369" s="3">
        <f t="shared" si="93"/>
        <v>0</v>
      </c>
      <c r="O369" s="3">
        <f t="shared" si="93"/>
        <v>0</v>
      </c>
      <c r="P369" s="3">
        <f t="shared" si="93"/>
        <v>0</v>
      </c>
      <c r="Q369" s="3">
        <f t="shared" si="93"/>
        <v>0</v>
      </c>
      <c r="R369" s="3">
        <f t="shared" si="93"/>
        <v>0</v>
      </c>
      <c r="S369" s="3">
        <f t="shared" si="93"/>
        <v>0</v>
      </c>
      <c r="T369" s="3">
        <f t="shared" si="93"/>
        <v>0</v>
      </c>
      <c r="U369" s="3">
        <f t="shared" si="93"/>
        <v>0</v>
      </c>
      <c r="V369" s="3">
        <f t="shared" si="93"/>
        <v>0</v>
      </c>
      <c r="W369" s="3">
        <f t="shared" si="93"/>
        <v>0</v>
      </c>
      <c r="X369" s="3">
        <f t="shared" si="93"/>
        <v>0</v>
      </c>
      <c r="Y369" s="3">
        <f t="shared" si="93"/>
        <v>0</v>
      </c>
      <c r="Z369" s="3">
        <f t="shared" si="93"/>
        <v>0</v>
      </c>
      <c r="AA369" s="5">
        <f>AA356</f>
        <v>0</v>
      </c>
    </row>
    <row r="370" spans="2:30" ht="7.8" hidden="1" customHeight="1" outlineLevel="1" x14ac:dyDescent="0.3">
      <c r="B370" s="2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8"/>
    </row>
    <row r="371" spans="2:30" hidden="1" outlineLevel="1" x14ac:dyDescent="0.3">
      <c r="B371" s="27"/>
      <c r="C371" s="29" t="s">
        <v>37</v>
      </c>
      <c r="D371" s="21"/>
      <c r="E371" s="20" t="s">
        <v>31</v>
      </c>
      <c r="F371" s="20"/>
      <c r="G371" s="20"/>
      <c r="H371" s="20"/>
      <c r="I371" s="20" t="s">
        <v>40</v>
      </c>
      <c r="J371" s="20"/>
      <c r="K371" s="20"/>
      <c r="L371" s="20"/>
      <c r="M371" s="20"/>
      <c r="N371" s="20"/>
      <c r="O371" s="20" t="s">
        <v>34</v>
      </c>
      <c r="P371" s="20"/>
      <c r="Q371" s="20"/>
      <c r="R371" s="20"/>
      <c r="S371" s="20"/>
      <c r="T371" s="20"/>
      <c r="U371" s="20" t="s">
        <v>35</v>
      </c>
      <c r="V371" s="20"/>
      <c r="W371" s="20"/>
      <c r="X371" s="20"/>
      <c r="Y371" s="20"/>
      <c r="Z371" s="20"/>
      <c r="AA371" s="9" t="s">
        <v>36</v>
      </c>
      <c r="AC371" s="21" t="s">
        <v>45</v>
      </c>
      <c r="AD371" s="21"/>
    </row>
    <row r="372" spans="2:30" hidden="1" outlineLevel="1" x14ac:dyDescent="0.3">
      <c r="B372" s="27"/>
      <c r="C372" s="29"/>
      <c r="D372" s="21"/>
      <c r="E372" s="22">
        <f>E359</f>
        <v>0</v>
      </c>
      <c r="F372" s="22"/>
      <c r="G372" s="22"/>
      <c r="H372" s="22"/>
      <c r="I372" s="22">
        <f>I359</f>
        <v>0</v>
      </c>
      <c r="J372" s="22"/>
      <c r="K372" s="22"/>
      <c r="L372" s="22"/>
      <c r="M372" s="22"/>
      <c r="N372" s="22"/>
      <c r="O372" s="22">
        <f t="shared" ref="O372" si="94">O359</f>
        <v>0</v>
      </c>
      <c r="P372" s="22"/>
      <c r="Q372" s="22"/>
      <c r="R372" s="22"/>
      <c r="S372" s="22"/>
      <c r="T372" s="22"/>
      <c r="U372" s="22">
        <f>U359</f>
        <v>0</v>
      </c>
      <c r="V372" s="22"/>
      <c r="W372" s="22"/>
      <c r="X372" s="22"/>
      <c r="Y372" s="22"/>
      <c r="Z372" s="22"/>
      <c r="AA372" s="24">
        <f>AA359</f>
        <v>0</v>
      </c>
      <c r="AC372" s="21">
        <f>AC359</f>
        <v>21</v>
      </c>
      <c r="AD372" s="21"/>
    </row>
    <row r="373" spans="2:30" hidden="1" outlineLevel="1" x14ac:dyDescent="0.3">
      <c r="B373" s="27"/>
      <c r="C373" s="29"/>
      <c r="D373" s="21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4"/>
      <c r="AC373" s="21"/>
      <c r="AD373" s="21"/>
    </row>
    <row r="374" spans="2:30" ht="7.2" hidden="1" customHeight="1" outlineLevel="1" x14ac:dyDescent="0.3">
      <c r="B374" s="2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8"/>
    </row>
    <row r="375" spans="2:30" hidden="1" outlineLevel="1" x14ac:dyDescent="0.3">
      <c r="B375" s="27"/>
      <c r="C375" s="29" t="s">
        <v>38</v>
      </c>
      <c r="D375" s="21"/>
      <c r="E375" s="20" t="s">
        <v>39</v>
      </c>
      <c r="F375" s="20"/>
      <c r="G375" s="20"/>
      <c r="H375" s="20"/>
      <c r="I375" s="20" t="s">
        <v>41</v>
      </c>
      <c r="J375" s="20"/>
      <c r="K375" s="20"/>
      <c r="L375" s="20"/>
      <c r="M375" s="20"/>
      <c r="N375" s="20"/>
      <c r="O375" s="20" t="s">
        <v>42</v>
      </c>
      <c r="P375" s="20"/>
      <c r="Q375" s="20"/>
      <c r="R375" s="20"/>
      <c r="S375" s="20"/>
      <c r="T375" s="20"/>
      <c r="U375" s="20" t="s">
        <v>43</v>
      </c>
      <c r="V375" s="20"/>
      <c r="W375" s="20"/>
      <c r="X375" s="20"/>
      <c r="Y375" s="20"/>
      <c r="Z375" s="20"/>
      <c r="AA375" s="9" t="s">
        <v>36</v>
      </c>
      <c r="AC375" s="21" t="s">
        <v>46</v>
      </c>
      <c r="AD375" s="21"/>
    </row>
    <row r="376" spans="2:30" hidden="1" outlineLevel="1" x14ac:dyDescent="0.3">
      <c r="B376" s="27"/>
      <c r="C376" s="29"/>
      <c r="D376" s="21"/>
      <c r="E376" s="22">
        <f>E363</f>
        <v>0</v>
      </c>
      <c r="F376" s="22"/>
      <c r="G376" s="22"/>
      <c r="H376" s="22"/>
      <c r="I376" s="22">
        <f>I363</f>
        <v>2500</v>
      </c>
      <c r="J376" s="22"/>
      <c r="K376" s="22"/>
      <c r="L376" s="22"/>
      <c r="M376" s="22"/>
      <c r="N376" s="22"/>
      <c r="O376" s="22">
        <f t="shared" ref="O376" si="95">O363</f>
        <v>0</v>
      </c>
      <c r="P376" s="22"/>
      <c r="Q376" s="22"/>
      <c r="R376" s="22"/>
      <c r="S376" s="22"/>
      <c r="T376" s="22"/>
      <c r="U376" s="22">
        <f t="shared" ref="U376" si="96">U363</f>
        <v>0</v>
      </c>
      <c r="V376" s="22"/>
      <c r="W376" s="22"/>
      <c r="X376" s="22"/>
      <c r="Y376" s="22"/>
      <c r="Z376" s="22"/>
      <c r="AA376" s="24">
        <f>AA363</f>
        <v>2500</v>
      </c>
      <c r="AC376" s="26">
        <f>AC363</f>
        <v>20500</v>
      </c>
      <c r="AD376" s="26"/>
    </row>
    <row r="377" spans="2:30" ht="15" hidden="1" outlineLevel="1" thickBot="1" x14ac:dyDescent="0.35">
      <c r="B377" s="28"/>
      <c r="C377" s="30"/>
      <c r="D377" s="31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5"/>
      <c r="AC377" s="26"/>
      <c r="AD377" s="26"/>
    </row>
    <row r="378" spans="2:30" s="15" customFormat="1" collapsed="1" x14ac:dyDescent="0.3">
      <c r="B378" s="19"/>
      <c r="D378" s="16"/>
    </row>
    <row r="379" spans="2:30" ht="3.6" customHeight="1" thickBot="1" x14ac:dyDescent="0.35"/>
    <row r="380" spans="2:30" ht="16.8" customHeight="1" x14ac:dyDescent="0.3">
      <c r="B380" s="32" t="s">
        <v>0</v>
      </c>
      <c r="C380" s="34" t="s">
        <v>1</v>
      </c>
      <c r="D380" s="36" t="s">
        <v>27</v>
      </c>
      <c r="E380" s="38" t="s">
        <v>30</v>
      </c>
      <c r="F380" s="44" t="str">
        <f>$F$2</f>
        <v>Травень 2026р</v>
      </c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0" t="s">
        <v>33</v>
      </c>
      <c r="AC380" s="42" t="s">
        <v>47</v>
      </c>
      <c r="AD380" s="43"/>
    </row>
    <row r="381" spans="2:30" x14ac:dyDescent="0.3">
      <c r="B381" s="33"/>
      <c r="C381" s="35"/>
      <c r="D381" s="37"/>
      <c r="E381" s="39"/>
      <c r="F381" s="3" t="str">
        <f>$F$3</f>
        <v>ПТ</v>
      </c>
      <c r="G381" s="3" t="str">
        <f>$G$3</f>
        <v>ПН</v>
      </c>
      <c r="H381" s="3" t="str">
        <f>$H$3</f>
        <v>ВТ</v>
      </c>
      <c r="I381" s="3" t="str">
        <f>$I$3</f>
        <v>СР</v>
      </c>
      <c r="J381" s="3" t="str">
        <f>$J$3</f>
        <v>ЧТ</v>
      </c>
      <c r="K381" s="3" t="str">
        <f>$K$3</f>
        <v>ПТ</v>
      </c>
      <c r="L381" s="3" t="str">
        <f>$L$3</f>
        <v>ПН</v>
      </c>
      <c r="M381" s="3" t="str">
        <f>$M$3</f>
        <v>ВТ</v>
      </c>
      <c r="N381" s="3" t="str">
        <f>$N$3</f>
        <v>СР</v>
      </c>
      <c r="O381" s="3" t="str">
        <f>$O$3</f>
        <v>ЧТ</v>
      </c>
      <c r="P381" s="3" t="str">
        <f>$P$3</f>
        <v>ПТ</v>
      </c>
      <c r="Q381" s="3" t="str">
        <f>$Q$3</f>
        <v>ПН</v>
      </c>
      <c r="R381" s="3" t="str">
        <f>$R$3</f>
        <v>ВТ</v>
      </c>
      <c r="S381" s="3" t="str">
        <f>$S$3</f>
        <v>СР</v>
      </c>
      <c r="T381" s="3" t="str">
        <f>$T$3</f>
        <v>ЧТ</v>
      </c>
      <c r="U381" s="3" t="str">
        <f>$U$3</f>
        <v>ПТ</v>
      </c>
      <c r="V381" s="3" t="str">
        <f>$V$3</f>
        <v>ПН</v>
      </c>
      <c r="W381" s="3" t="str">
        <f>$W$3</f>
        <v>ВТ</v>
      </c>
      <c r="X381" s="3" t="str">
        <f>$X$3</f>
        <v>СР</v>
      </c>
      <c r="Y381" s="3" t="str">
        <f>$Y$3</f>
        <v>ЧТ</v>
      </c>
      <c r="Z381" s="3" t="str">
        <f>$Z$3</f>
        <v>ПТ</v>
      </c>
      <c r="AA381" s="41"/>
      <c r="AC381" s="11"/>
      <c r="AD381" s="12"/>
    </row>
    <row r="382" spans="2:30" x14ac:dyDescent="0.3">
      <c r="B382" s="33"/>
      <c r="C382" s="35"/>
      <c r="D382" s="37"/>
      <c r="E382" s="39"/>
      <c r="F382" s="3">
        <f>$F$4</f>
        <v>1</v>
      </c>
      <c r="G382" s="3">
        <f>$G$4</f>
        <v>4</v>
      </c>
      <c r="H382" s="3">
        <f>$H$4</f>
        <v>5</v>
      </c>
      <c r="I382" s="3">
        <f>$I$4</f>
        <v>6</v>
      </c>
      <c r="J382" s="3">
        <f>$J$4</f>
        <v>7</v>
      </c>
      <c r="K382" s="3">
        <f>$K$4</f>
        <v>8</v>
      </c>
      <c r="L382" s="3">
        <f>$L$4</f>
        <v>11</v>
      </c>
      <c r="M382" s="3">
        <f>$M$4</f>
        <v>12</v>
      </c>
      <c r="N382" s="3">
        <f>$N$4</f>
        <v>13</v>
      </c>
      <c r="O382" s="3">
        <f>$O$4</f>
        <v>14</v>
      </c>
      <c r="P382" s="3">
        <f>$P$4</f>
        <v>15</v>
      </c>
      <c r="Q382" s="3">
        <f>$Q$4</f>
        <v>18</v>
      </c>
      <c r="R382" s="3">
        <f>$R$4</f>
        <v>19</v>
      </c>
      <c r="S382" s="3">
        <f>$S$4</f>
        <v>20</v>
      </c>
      <c r="T382" s="3">
        <f>$T$4</f>
        <v>21</v>
      </c>
      <c r="U382" s="3">
        <f>$U$4</f>
        <v>22</v>
      </c>
      <c r="V382" s="3">
        <f>$V$4</f>
        <v>25</v>
      </c>
      <c r="W382" s="3">
        <f>$W$4</f>
        <v>26</v>
      </c>
      <c r="X382" s="3">
        <f>$X$4</f>
        <v>27</v>
      </c>
      <c r="Y382" s="3">
        <f>$Y$4</f>
        <v>28</v>
      </c>
      <c r="Z382" s="3">
        <f>$Z$4</f>
        <v>29</v>
      </c>
      <c r="AA382" s="41"/>
      <c r="AC382" s="11"/>
      <c r="AD382" s="12"/>
    </row>
    <row r="383" spans="2:30" x14ac:dyDescent="0.3">
      <c r="B383" s="27" t="s">
        <v>24</v>
      </c>
      <c r="C383" s="4" t="s">
        <v>9</v>
      </c>
      <c r="D383" s="17" t="s">
        <v>29</v>
      </c>
      <c r="E383" s="10">
        <f>AC390/AC386/8</f>
        <v>119.04761904761905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5">
        <f>SUM(F383:Z383)</f>
        <v>0</v>
      </c>
      <c r="AC383" s="13"/>
      <c r="AD383" s="14"/>
    </row>
    <row r="384" spans="2:30" ht="4.8" customHeight="1" x14ac:dyDescent="0.3">
      <c r="B384" s="2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8"/>
    </row>
    <row r="385" spans="2:30" x14ac:dyDescent="0.3">
      <c r="B385" s="27"/>
      <c r="C385" s="29" t="s">
        <v>37</v>
      </c>
      <c r="D385" s="21"/>
      <c r="E385" s="20" t="s">
        <v>31</v>
      </c>
      <c r="F385" s="20"/>
      <c r="G385" s="20"/>
      <c r="H385" s="20"/>
      <c r="I385" s="20" t="s">
        <v>40</v>
      </c>
      <c r="J385" s="20"/>
      <c r="K385" s="20"/>
      <c r="L385" s="20"/>
      <c r="M385" s="20"/>
      <c r="N385" s="20"/>
      <c r="O385" s="20" t="s">
        <v>34</v>
      </c>
      <c r="P385" s="20"/>
      <c r="Q385" s="20"/>
      <c r="R385" s="20"/>
      <c r="S385" s="20"/>
      <c r="T385" s="20"/>
      <c r="U385" s="20" t="s">
        <v>35</v>
      </c>
      <c r="V385" s="20"/>
      <c r="W385" s="20"/>
      <c r="X385" s="20"/>
      <c r="Y385" s="20"/>
      <c r="Z385" s="20"/>
      <c r="AA385" s="9" t="s">
        <v>36</v>
      </c>
      <c r="AC385" s="21" t="s">
        <v>45</v>
      </c>
      <c r="AD385" s="21"/>
    </row>
    <row r="386" spans="2:30" x14ac:dyDescent="0.3">
      <c r="B386" s="27"/>
      <c r="C386" s="29"/>
      <c r="D386" s="21"/>
      <c r="E386" s="22">
        <f>E383*AA383</f>
        <v>0</v>
      </c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4">
        <f>E386+I386+O386-U386</f>
        <v>0</v>
      </c>
      <c r="AC386" s="21">
        <f>$AC$8</f>
        <v>21</v>
      </c>
      <c r="AD386" s="21"/>
    </row>
    <row r="387" spans="2:30" x14ac:dyDescent="0.3">
      <c r="B387" s="27"/>
      <c r="C387" s="29"/>
      <c r="D387" s="21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4"/>
      <c r="AC387" s="21"/>
      <c r="AD387" s="21"/>
    </row>
    <row r="388" spans="2:30" ht="4.8" customHeight="1" x14ac:dyDescent="0.3">
      <c r="B388" s="2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8"/>
    </row>
    <row r="389" spans="2:30" x14ac:dyDescent="0.3">
      <c r="B389" s="27"/>
      <c r="C389" s="29" t="s">
        <v>38</v>
      </c>
      <c r="D389" s="21"/>
      <c r="E389" s="20" t="s">
        <v>39</v>
      </c>
      <c r="F389" s="20"/>
      <c r="G389" s="20"/>
      <c r="H389" s="20"/>
      <c r="I389" s="20" t="s">
        <v>41</v>
      </c>
      <c r="J389" s="20"/>
      <c r="K389" s="20"/>
      <c r="L389" s="20"/>
      <c r="M389" s="20"/>
      <c r="N389" s="20"/>
      <c r="O389" s="20" t="s">
        <v>42</v>
      </c>
      <c r="P389" s="20"/>
      <c r="Q389" s="20"/>
      <c r="R389" s="20"/>
      <c r="S389" s="20"/>
      <c r="T389" s="20"/>
      <c r="U389" s="20" t="s">
        <v>43</v>
      </c>
      <c r="V389" s="20"/>
      <c r="W389" s="20"/>
      <c r="X389" s="20"/>
      <c r="Y389" s="20"/>
      <c r="Z389" s="20"/>
      <c r="AA389" s="9" t="s">
        <v>36</v>
      </c>
      <c r="AC389" s="21" t="s">
        <v>46</v>
      </c>
      <c r="AD389" s="21"/>
    </row>
    <row r="390" spans="2:30" x14ac:dyDescent="0.3">
      <c r="B390" s="27"/>
      <c r="C390" s="29"/>
      <c r="D390" s="21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4">
        <f>E390+I390+O390+U390</f>
        <v>0</v>
      </c>
      <c r="AC390" s="26">
        <v>20000</v>
      </c>
      <c r="AD390" s="26"/>
    </row>
    <row r="391" spans="2:30" ht="15" thickBot="1" x14ac:dyDescent="0.35">
      <c r="B391" s="28"/>
      <c r="C391" s="30"/>
      <c r="D391" s="31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5"/>
      <c r="AC391" s="26"/>
      <c r="AD391" s="26"/>
    </row>
    <row r="392" spans="2:30" ht="55.2" hidden="1" customHeight="1" outlineLevel="1" thickBot="1" x14ac:dyDescent="0.35"/>
    <row r="393" spans="2:30" ht="16.8" hidden="1" customHeight="1" outlineLevel="1" x14ac:dyDescent="0.3">
      <c r="B393" s="32" t="s">
        <v>0</v>
      </c>
      <c r="C393" s="34" t="s">
        <v>1</v>
      </c>
      <c r="D393" s="36" t="s">
        <v>27</v>
      </c>
      <c r="E393" s="38" t="s">
        <v>30</v>
      </c>
      <c r="F393" s="34" t="str">
        <f>F380</f>
        <v>Травень 2026р</v>
      </c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40" t="s">
        <v>33</v>
      </c>
    </row>
    <row r="394" spans="2:30" hidden="1" outlineLevel="1" x14ac:dyDescent="0.3">
      <c r="B394" s="33"/>
      <c r="C394" s="35"/>
      <c r="D394" s="37"/>
      <c r="E394" s="39"/>
      <c r="F394" s="3" t="str">
        <f>F381</f>
        <v>ПТ</v>
      </c>
      <c r="G394" s="3" t="str">
        <f t="shared" ref="G394:Z394" si="97">G381</f>
        <v>ПН</v>
      </c>
      <c r="H394" s="3" t="str">
        <f t="shared" si="97"/>
        <v>ВТ</v>
      </c>
      <c r="I394" s="3" t="str">
        <f t="shared" si="97"/>
        <v>СР</v>
      </c>
      <c r="J394" s="3" t="str">
        <f t="shared" si="97"/>
        <v>ЧТ</v>
      </c>
      <c r="K394" s="3" t="str">
        <f t="shared" si="97"/>
        <v>ПТ</v>
      </c>
      <c r="L394" s="3" t="str">
        <f t="shared" si="97"/>
        <v>ПН</v>
      </c>
      <c r="M394" s="3" t="str">
        <f t="shared" si="97"/>
        <v>ВТ</v>
      </c>
      <c r="N394" s="3" t="str">
        <f t="shared" si="97"/>
        <v>СР</v>
      </c>
      <c r="O394" s="3" t="str">
        <f t="shared" si="97"/>
        <v>ЧТ</v>
      </c>
      <c r="P394" s="3" t="str">
        <f t="shared" si="97"/>
        <v>ПТ</v>
      </c>
      <c r="Q394" s="3" t="str">
        <f t="shared" si="97"/>
        <v>ПН</v>
      </c>
      <c r="R394" s="3" t="str">
        <f t="shared" si="97"/>
        <v>ВТ</v>
      </c>
      <c r="S394" s="3" t="str">
        <f t="shared" si="97"/>
        <v>СР</v>
      </c>
      <c r="T394" s="3" t="str">
        <f t="shared" si="97"/>
        <v>ЧТ</v>
      </c>
      <c r="U394" s="3" t="str">
        <f t="shared" si="97"/>
        <v>ПТ</v>
      </c>
      <c r="V394" s="3" t="str">
        <f t="shared" si="97"/>
        <v>ПН</v>
      </c>
      <c r="W394" s="3" t="str">
        <f t="shared" si="97"/>
        <v>ВТ</v>
      </c>
      <c r="X394" s="3" t="str">
        <f t="shared" si="97"/>
        <v>СР</v>
      </c>
      <c r="Y394" s="3" t="str">
        <f t="shared" si="97"/>
        <v>ЧТ</v>
      </c>
      <c r="Z394" s="3" t="str">
        <f t="shared" si="97"/>
        <v>ПТ</v>
      </c>
      <c r="AA394" s="41"/>
    </row>
    <row r="395" spans="2:30" hidden="1" outlineLevel="1" x14ac:dyDescent="0.3">
      <c r="B395" s="33"/>
      <c r="C395" s="35"/>
      <c r="D395" s="37"/>
      <c r="E395" s="39"/>
      <c r="F395" s="3">
        <f>F382</f>
        <v>1</v>
      </c>
      <c r="G395" s="3">
        <f t="shared" ref="G395:X395" si="98">G382</f>
        <v>4</v>
      </c>
      <c r="H395" s="3">
        <f t="shared" si="98"/>
        <v>5</v>
      </c>
      <c r="I395" s="3">
        <f t="shared" si="98"/>
        <v>6</v>
      </c>
      <c r="J395" s="3">
        <f t="shared" si="98"/>
        <v>7</v>
      </c>
      <c r="K395" s="3">
        <f t="shared" si="98"/>
        <v>8</v>
      </c>
      <c r="L395" s="3">
        <f t="shared" si="98"/>
        <v>11</v>
      </c>
      <c r="M395" s="3">
        <f t="shared" si="98"/>
        <v>12</v>
      </c>
      <c r="N395" s="3">
        <f t="shared" si="98"/>
        <v>13</v>
      </c>
      <c r="O395" s="3">
        <f t="shared" si="98"/>
        <v>14</v>
      </c>
      <c r="P395" s="3">
        <f t="shared" si="98"/>
        <v>15</v>
      </c>
      <c r="Q395" s="3">
        <f t="shared" si="98"/>
        <v>18</v>
      </c>
      <c r="R395" s="3">
        <f t="shared" si="98"/>
        <v>19</v>
      </c>
      <c r="S395" s="3">
        <f t="shared" si="98"/>
        <v>20</v>
      </c>
      <c r="T395" s="3">
        <f t="shared" si="98"/>
        <v>21</v>
      </c>
      <c r="U395" s="3">
        <f t="shared" si="98"/>
        <v>22</v>
      </c>
      <c r="V395" s="3">
        <f t="shared" si="98"/>
        <v>25</v>
      </c>
      <c r="W395" s="3">
        <f t="shared" si="98"/>
        <v>26</v>
      </c>
      <c r="X395" s="3">
        <f t="shared" si="98"/>
        <v>27</v>
      </c>
      <c r="Y395" s="3">
        <f>Y382</f>
        <v>28</v>
      </c>
      <c r="Z395" s="3">
        <f t="shared" ref="Z395" si="99">Z382</f>
        <v>29</v>
      </c>
      <c r="AA395" s="41"/>
    </row>
    <row r="396" spans="2:30" hidden="1" outlineLevel="1" x14ac:dyDescent="0.3">
      <c r="B396" s="27" t="str">
        <f>B383</f>
        <v>Луніка Яна</v>
      </c>
      <c r="C396" s="4" t="str">
        <f>C383</f>
        <v>оператор устаткування</v>
      </c>
      <c r="D396" s="3" t="str">
        <f>D383</f>
        <v>Ні</v>
      </c>
      <c r="E396" s="10">
        <f>E383</f>
        <v>119.04761904761905</v>
      </c>
      <c r="F396" s="3">
        <f>F383</f>
        <v>0</v>
      </c>
      <c r="G396" s="3">
        <f t="shared" ref="G396:Z396" si="100">G383</f>
        <v>0</v>
      </c>
      <c r="H396" s="3">
        <f t="shared" si="100"/>
        <v>0</v>
      </c>
      <c r="I396" s="3">
        <f t="shared" si="100"/>
        <v>0</v>
      </c>
      <c r="J396" s="3">
        <f t="shared" si="100"/>
        <v>0</v>
      </c>
      <c r="K396" s="3">
        <f t="shared" si="100"/>
        <v>0</v>
      </c>
      <c r="L396" s="3">
        <f t="shared" si="100"/>
        <v>0</v>
      </c>
      <c r="M396" s="3">
        <f t="shared" si="100"/>
        <v>0</v>
      </c>
      <c r="N396" s="3">
        <f t="shared" si="100"/>
        <v>0</v>
      </c>
      <c r="O396" s="3">
        <f t="shared" si="100"/>
        <v>0</v>
      </c>
      <c r="P396" s="3">
        <f t="shared" si="100"/>
        <v>0</v>
      </c>
      <c r="Q396" s="3">
        <f t="shared" si="100"/>
        <v>0</v>
      </c>
      <c r="R396" s="3">
        <f t="shared" si="100"/>
        <v>0</v>
      </c>
      <c r="S396" s="3">
        <f t="shared" si="100"/>
        <v>0</v>
      </c>
      <c r="T396" s="3">
        <f t="shared" si="100"/>
        <v>0</v>
      </c>
      <c r="U396" s="3">
        <f t="shared" si="100"/>
        <v>0</v>
      </c>
      <c r="V396" s="3">
        <f t="shared" si="100"/>
        <v>0</v>
      </c>
      <c r="W396" s="3">
        <f t="shared" si="100"/>
        <v>0</v>
      </c>
      <c r="X396" s="3">
        <f t="shared" si="100"/>
        <v>0</v>
      </c>
      <c r="Y396" s="3">
        <f t="shared" si="100"/>
        <v>0</v>
      </c>
      <c r="Z396" s="3">
        <f t="shared" si="100"/>
        <v>0</v>
      </c>
      <c r="AA396" s="5">
        <f>AA383</f>
        <v>0</v>
      </c>
    </row>
    <row r="397" spans="2:30" ht="7.8" hidden="1" customHeight="1" outlineLevel="1" x14ac:dyDescent="0.3">
      <c r="B397" s="2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8"/>
    </row>
    <row r="398" spans="2:30" hidden="1" outlineLevel="1" x14ac:dyDescent="0.3">
      <c r="B398" s="27"/>
      <c r="C398" s="29" t="s">
        <v>37</v>
      </c>
      <c r="D398" s="21"/>
      <c r="E398" s="20" t="s">
        <v>31</v>
      </c>
      <c r="F398" s="20"/>
      <c r="G398" s="20"/>
      <c r="H398" s="20"/>
      <c r="I398" s="20" t="s">
        <v>40</v>
      </c>
      <c r="J398" s="20"/>
      <c r="K398" s="20"/>
      <c r="L398" s="20"/>
      <c r="M398" s="20"/>
      <c r="N398" s="20"/>
      <c r="O398" s="20" t="s">
        <v>34</v>
      </c>
      <c r="P398" s="20"/>
      <c r="Q398" s="20"/>
      <c r="R398" s="20"/>
      <c r="S398" s="20"/>
      <c r="T398" s="20"/>
      <c r="U398" s="20" t="s">
        <v>35</v>
      </c>
      <c r="V398" s="20"/>
      <c r="W398" s="20"/>
      <c r="X398" s="20"/>
      <c r="Y398" s="20"/>
      <c r="Z398" s="20"/>
      <c r="AA398" s="9" t="s">
        <v>36</v>
      </c>
      <c r="AC398" s="21" t="s">
        <v>45</v>
      </c>
      <c r="AD398" s="21"/>
    </row>
    <row r="399" spans="2:30" hidden="1" outlineLevel="1" x14ac:dyDescent="0.3">
      <c r="B399" s="27"/>
      <c r="C399" s="29"/>
      <c r="D399" s="21"/>
      <c r="E399" s="22">
        <f>E386</f>
        <v>0</v>
      </c>
      <c r="F399" s="22"/>
      <c r="G399" s="22"/>
      <c r="H399" s="22"/>
      <c r="I399" s="22">
        <f>I386</f>
        <v>0</v>
      </c>
      <c r="J399" s="22"/>
      <c r="K399" s="22"/>
      <c r="L399" s="22"/>
      <c r="M399" s="22"/>
      <c r="N399" s="22"/>
      <c r="O399" s="22">
        <f t="shared" ref="O399" si="101">O386</f>
        <v>0</v>
      </c>
      <c r="P399" s="22"/>
      <c r="Q399" s="22"/>
      <c r="R399" s="22"/>
      <c r="S399" s="22"/>
      <c r="T399" s="22"/>
      <c r="U399" s="22">
        <f>U386</f>
        <v>0</v>
      </c>
      <c r="V399" s="22"/>
      <c r="W399" s="22"/>
      <c r="X399" s="22"/>
      <c r="Y399" s="22"/>
      <c r="Z399" s="22"/>
      <c r="AA399" s="24">
        <f>AA386</f>
        <v>0</v>
      </c>
      <c r="AC399" s="21">
        <f>AC386</f>
        <v>21</v>
      </c>
      <c r="AD399" s="21"/>
    </row>
    <row r="400" spans="2:30" hidden="1" outlineLevel="1" x14ac:dyDescent="0.3">
      <c r="B400" s="27"/>
      <c r="C400" s="29"/>
      <c r="D400" s="21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4"/>
      <c r="AC400" s="21"/>
      <c r="AD400" s="21"/>
    </row>
    <row r="401" spans="2:30" ht="7.2" hidden="1" customHeight="1" outlineLevel="1" x14ac:dyDescent="0.3">
      <c r="B401" s="2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8"/>
    </row>
    <row r="402" spans="2:30" hidden="1" outlineLevel="1" x14ac:dyDescent="0.3">
      <c r="B402" s="27"/>
      <c r="C402" s="29" t="s">
        <v>38</v>
      </c>
      <c r="D402" s="21"/>
      <c r="E402" s="20" t="s">
        <v>39</v>
      </c>
      <c r="F402" s="20"/>
      <c r="G402" s="20"/>
      <c r="H402" s="20"/>
      <c r="I402" s="20" t="s">
        <v>41</v>
      </c>
      <c r="J402" s="20"/>
      <c r="K402" s="20"/>
      <c r="L402" s="20"/>
      <c r="M402" s="20"/>
      <c r="N402" s="20"/>
      <c r="O402" s="20" t="s">
        <v>42</v>
      </c>
      <c r="P402" s="20"/>
      <c r="Q402" s="20"/>
      <c r="R402" s="20"/>
      <c r="S402" s="20"/>
      <c r="T402" s="20"/>
      <c r="U402" s="20" t="s">
        <v>43</v>
      </c>
      <c r="V402" s="20"/>
      <c r="W402" s="20"/>
      <c r="X402" s="20"/>
      <c r="Y402" s="20"/>
      <c r="Z402" s="20"/>
      <c r="AA402" s="9" t="s">
        <v>36</v>
      </c>
      <c r="AC402" s="21" t="s">
        <v>46</v>
      </c>
      <c r="AD402" s="21"/>
    </row>
    <row r="403" spans="2:30" hidden="1" outlineLevel="1" x14ac:dyDescent="0.3">
      <c r="B403" s="27"/>
      <c r="C403" s="29"/>
      <c r="D403" s="21"/>
      <c r="E403" s="22">
        <f>E390</f>
        <v>0</v>
      </c>
      <c r="F403" s="22"/>
      <c r="G403" s="22"/>
      <c r="H403" s="22"/>
      <c r="I403" s="22">
        <f>I390</f>
        <v>0</v>
      </c>
      <c r="J403" s="22"/>
      <c r="K403" s="22"/>
      <c r="L403" s="22"/>
      <c r="M403" s="22"/>
      <c r="N403" s="22"/>
      <c r="O403" s="22">
        <f t="shared" ref="O403" si="102">O390</f>
        <v>0</v>
      </c>
      <c r="P403" s="22"/>
      <c r="Q403" s="22"/>
      <c r="R403" s="22"/>
      <c r="S403" s="22"/>
      <c r="T403" s="22"/>
      <c r="U403" s="22">
        <f t="shared" ref="U403" si="103">U390</f>
        <v>0</v>
      </c>
      <c r="V403" s="22"/>
      <c r="W403" s="22"/>
      <c r="X403" s="22"/>
      <c r="Y403" s="22"/>
      <c r="Z403" s="22"/>
      <c r="AA403" s="24">
        <f>AA390</f>
        <v>0</v>
      </c>
      <c r="AC403" s="26">
        <f>AC390</f>
        <v>20000</v>
      </c>
      <c r="AD403" s="26"/>
    </row>
    <row r="404" spans="2:30" ht="15" hidden="1" outlineLevel="1" thickBot="1" x14ac:dyDescent="0.35">
      <c r="B404" s="28"/>
      <c r="C404" s="30"/>
      <c r="D404" s="31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5"/>
      <c r="AC404" s="26"/>
      <c r="AD404" s="26"/>
    </row>
    <row r="405" spans="2:30" s="15" customFormat="1" collapsed="1" x14ac:dyDescent="0.3">
      <c r="B405" s="19"/>
      <c r="D405" s="16"/>
    </row>
    <row r="406" spans="2:30" ht="3.6" customHeight="1" thickBot="1" x14ac:dyDescent="0.35"/>
    <row r="407" spans="2:30" ht="16.8" customHeight="1" x14ac:dyDescent="0.3">
      <c r="B407" s="32" t="s">
        <v>0</v>
      </c>
      <c r="C407" s="34" t="s">
        <v>1</v>
      </c>
      <c r="D407" s="36" t="s">
        <v>27</v>
      </c>
      <c r="E407" s="38" t="s">
        <v>30</v>
      </c>
      <c r="F407" s="44" t="str">
        <f>$F$2</f>
        <v>Травень 2026р</v>
      </c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0" t="s">
        <v>33</v>
      </c>
      <c r="AC407" s="42" t="s">
        <v>47</v>
      </c>
      <c r="AD407" s="43"/>
    </row>
    <row r="408" spans="2:30" x14ac:dyDescent="0.3">
      <c r="B408" s="33"/>
      <c r="C408" s="35"/>
      <c r="D408" s="37"/>
      <c r="E408" s="39"/>
      <c r="F408" s="3" t="str">
        <f>$F$3</f>
        <v>ПТ</v>
      </c>
      <c r="G408" s="3" t="str">
        <f>$G$3</f>
        <v>ПН</v>
      </c>
      <c r="H408" s="3" t="str">
        <f>$H$3</f>
        <v>ВТ</v>
      </c>
      <c r="I408" s="3" t="str">
        <f>$I$3</f>
        <v>СР</v>
      </c>
      <c r="J408" s="3" t="str">
        <f>$J$3</f>
        <v>ЧТ</v>
      </c>
      <c r="K408" s="3" t="str">
        <f>$K$3</f>
        <v>ПТ</v>
      </c>
      <c r="L408" s="3" t="str">
        <f>$L$3</f>
        <v>ПН</v>
      </c>
      <c r="M408" s="3" t="str">
        <f>$M$3</f>
        <v>ВТ</v>
      </c>
      <c r="N408" s="3" t="str">
        <f>$N$3</f>
        <v>СР</v>
      </c>
      <c r="O408" s="3" t="str">
        <f>$O$3</f>
        <v>ЧТ</v>
      </c>
      <c r="P408" s="3" t="str">
        <f>$P$3</f>
        <v>ПТ</v>
      </c>
      <c r="Q408" s="3" t="str">
        <f>$Q$3</f>
        <v>ПН</v>
      </c>
      <c r="R408" s="3" t="str">
        <f>$R$3</f>
        <v>ВТ</v>
      </c>
      <c r="S408" s="3" t="str">
        <f>$S$3</f>
        <v>СР</v>
      </c>
      <c r="T408" s="3" t="str">
        <f>$T$3</f>
        <v>ЧТ</v>
      </c>
      <c r="U408" s="3" t="str">
        <f>$U$3</f>
        <v>ПТ</v>
      </c>
      <c r="V408" s="3" t="str">
        <f>$V$3</f>
        <v>ПН</v>
      </c>
      <c r="W408" s="3" t="str">
        <f>$W$3</f>
        <v>ВТ</v>
      </c>
      <c r="X408" s="3" t="str">
        <f>$X$3</f>
        <v>СР</v>
      </c>
      <c r="Y408" s="3" t="str">
        <f>$Y$3</f>
        <v>ЧТ</v>
      </c>
      <c r="Z408" s="3" t="str">
        <f>$Z$3</f>
        <v>ПТ</v>
      </c>
      <c r="AA408" s="41"/>
      <c r="AC408" s="11"/>
      <c r="AD408" s="12"/>
    </row>
    <row r="409" spans="2:30" x14ac:dyDescent="0.3">
      <c r="B409" s="33"/>
      <c r="C409" s="35"/>
      <c r="D409" s="37"/>
      <c r="E409" s="39"/>
      <c r="F409" s="3">
        <f>$F$4</f>
        <v>1</v>
      </c>
      <c r="G409" s="3">
        <f>$G$4</f>
        <v>4</v>
      </c>
      <c r="H409" s="3">
        <f>$H$4</f>
        <v>5</v>
      </c>
      <c r="I409" s="3">
        <f>$I$4</f>
        <v>6</v>
      </c>
      <c r="J409" s="3">
        <f>$J$4</f>
        <v>7</v>
      </c>
      <c r="K409" s="3">
        <f>$K$4</f>
        <v>8</v>
      </c>
      <c r="L409" s="3">
        <f>$L$4</f>
        <v>11</v>
      </c>
      <c r="M409" s="3">
        <f>$M$4</f>
        <v>12</v>
      </c>
      <c r="N409" s="3">
        <f>$N$4</f>
        <v>13</v>
      </c>
      <c r="O409" s="3">
        <f>$O$4</f>
        <v>14</v>
      </c>
      <c r="P409" s="3">
        <f>$P$4</f>
        <v>15</v>
      </c>
      <c r="Q409" s="3">
        <f>$Q$4</f>
        <v>18</v>
      </c>
      <c r="R409" s="3">
        <f>$R$4</f>
        <v>19</v>
      </c>
      <c r="S409" s="3">
        <f>$S$4</f>
        <v>20</v>
      </c>
      <c r="T409" s="3">
        <f>$T$4</f>
        <v>21</v>
      </c>
      <c r="U409" s="3">
        <f>$U$4</f>
        <v>22</v>
      </c>
      <c r="V409" s="3">
        <f>$V$4</f>
        <v>25</v>
      </c>
      <c r="W409" s="3">
        <f>$W$4</f>
        <v>26</v>
      </c>
      <c r="X409" s="3">
        <f>$X$4</f>
        <v>27</v>
      </c>
      <c r="Y409" s="3">
        <f>$Y$4</f>
        <v>28</v>
      </c>
      <c r="Z409" s="3">
        <f>$Z$4</f>
        <v>29</v>
      </c>
      <c r="AA409" s="41"/>
      <c r="AC409" s="11"/>
      <c r="AD409" s="12"/>
    </row>
    <row r="410" spans="2:30" x14ac:dyDescent="0.3">
      <c r="B410" s="27" t="s">
        <v>25</v>
      </c>
      <c r="C410" s="4" t="s">
        <v>26</v>
      </c>
      <c r="D410" s="17" t="s">
        <v>28</v>
      </c>
      <c r="E410" s="10">
        <f>AC417/AC413/8</f>
        <v>267.85714285714283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5">
        <f>SUM(F410:Z410)</f>
        <v>0</v>
      </c>
      <c r="AC410" s="13"/>
      <c r="AD410" s="14"/>
    </row>
    <row r="411" spans="2:30" ht="4.8" customHeight="1" x14ac:dyDescent="0.3">
      <c r="B411" s="2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8"/>
    </row>
    <row r="412" spans="2:30" x14ac:dyDescent="0.3">
      <c r="B412" s="27"/>
      <c r="C412" s="29" t="s">
        <v>37</v>
      </c>
      <c r="D412" s="21"/>
      <c r="E412" s="20" t="s">
        <v>31</v>
      </c>
      <c r="F412" s="20"/>
      <c r="G412" s="20"/>
      <c r="H412" s="20"/>
      <c r="I412" s="20" t="s">
        <v>40</v>
      </c>
      <c r="J412" s="20"/>
      <c r="K412" s="20"/>
      <c r="L412" s="20"/>
      <c r="M412" s="20"/>
      <c r="N412" s="20"/>
      <c r="O412" s="20" t="s">
        <v>34</v>
      </c>
      <c r="P412" s="20"/>
      <c r="Q412" s="20"/>
      <c r="R412" s="20"/>
      <c r="S412" s="20"/>
      <c r="T412" s="20"/>
      <c r="U412" s="20" t="s">
        <v>35</v>
      </c>
      <c r="V412" s="20"/>
      <c r="W412" s="20"/>
      <c r="X412" s="20"/>
      <c r="Y412" s="20"/>
      <c r="Z412" s="20"/>
      <c r="AA412" s="9" t="s">
        <v>36</v>
      </c>
      <c r="AC412" s="21" t="s">
        <v>45</v>
      </c>
      <c r="AD412" s="21"/>
    </row>
    <row r="413" spans="2:30" x14ac:dyDescent="0.3">
      <c r="B413" s="27"/>
      <c r="C413" s="29"/>
      <c r="D413" s="21"/>
      <c r="E413" s="22">
        <f>E410*AA410</f>
        <v>0</v>
      </c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4">
        <f>E413+I413+O413-U413</f>
        <v>0</v>
      </c>
      <c r="AC413" s="21">
        <f>$AC$8</f>
        <v>21</v>
      </c>
      <c r="AD413" s="21"/>
    </row>
    <row r="414" spans="2:30" x14ac:dyDescent="0.3">
      <c r="B414" s="27"/>
      <c r="C414" s="29"/>
      <c r="D414" s="21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4"/>
      <c r="AC414" s="21"/>
      <c r="AD414" s="21"/>
    </row>
    <row r="415" spans="2:30" ht="4.8" customHeight="1" x14ac:dyDescent="0.3">
      <c r="B415" s="2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8"/>
    </row>
    <row r="416" spans="2:30" x14ac:dyDescent="0.3">
      <c r="B416" s="27"/>
      <c r="C416" s="29" t="s">
        <v>38</v>
      </c>
      <c r="D416" s="21"/>
      <c r="E416" s="20" t="s">
        <v>39</v>
      </c>
      <c r="F416" s="20"/>
      <c r="G416" s="20"/>
      <c r="H416" s="20"/>
      <c r="I416" s="20" t="s">
        <v>41</v>
      </c>
      <c r="J416" s="20"/>
      <c r="K416" s="20"/>
      <c r="L416" s="20"/>
      <c r="M416" s="20"/>
      <c r="N416" s="20"/>
      <c r="O416" s="20" t="s">
        <v>42</v>
      </c>
      <c r="P416" s="20"/>
      <c r="Q416" s="20"/>
      <c r="R416" s="20"/>
      <c r="S416" s="20"/>
      <c r="T416" s="20"/>
      <c r="U416" s="20" t="s">
        <v>43</v>
      </c>
      <c r="V416" s="20"/>
      <c r="W416" s="20"/>
      <c r="X416" s="20"/>
      <c r="Y416" s="20"/>
      <c r="Z416" s="20"/>
      <c r="AA416" s="9" t="s">
        <v>36</v>
      </c>
      <c r="AC416" s="21" t="s">
        <v>46</v>
      </c>
      <c r="AD416" s="21"/>
    </row>
    <row r="417" spans="2:30" x14ac:dyDescent="0.3">
      <c r="B417" s="27"/>
      <c r="C417" s="29"/>
      <c r="D417" s="21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4">
        <f>E417+I417+O417+U417</f>
        <v>0</v>
      </c>
      <c r="AC417" s="26">
        <v>45000</v>
      </c>
      <c r="AD417" s="26"/>
    </row>
    <row r="418" spans="2:30" ht="15" thickBot="1" x14ac:dyDescent="0.35">
      <c r="B418" s="28"/>
      <c r="C418" s="30"/>
      <c r="D418" s="31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5"/>
      <c r="AC418" s="26"/>
      <c r="AD418" s="26"/>
    </row>
    <row r="419" spans="2:30" ht="55.2" hidden="1" customHeight="1" outlineLevel="1" thickBot="1" x14ac:dyDescent="0.35"/>
    <row r="420" spans="2:30" ht="16.8" hidden="1" customHeight="1" outlineLevel="1" x14ac:dyDescent="0.3">
      <c r="B420" s="32" t="s">
        <v>0</v>
      </c>
      <c r="C420" s="34" t="s">
        <v>1</v>
      </c>
      <c r="D420" s="36" t="s">
        <v>27</v>
      </c>
      <c r="E420" s="38" t="s">
        <v>30</v>
      </c>
      <c r="F420" s="34" t="str">
        <f>F407</f>
        <v>Травень 2026р</v>
      </c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40" t="s">
        <v>33</v>
      </c>
    </row>
    <row r="421" spans="2:30" hidden="1" outlineLevel="1" x14ac:dyDescent="0.3">
      <c r="B421" s="33"/>
      <c r="C421" s="35"/>
      <c r="D421" s="37"/>
      <c r="E421" s="39"/>
      <c r="F421" s="3" t="str">
        <f>F408</f>
        <v>ПТ</v>
      </c>
      <c r="G421" s="3" t="str">
        <f t="shared" ref="G421:Z421" si="104">G408</f>
        <v>ПН</v>
      </c>
      <c r="H421" s="3" t="str">
        <f t="shared" si="104"/>
        <v>ВТ</v>
      </c>
      <c r="I421" s="3" t="str">
        <f t="shared" si="104"/>
        <v>СР</v>
      </c>
      <c r="J421" s="3" t="str">
        <f t="shared" si="104"/>
        <v>ЧТ</v>
      </c>
      <c r="K421" s="3" t="str">
        <f t="shared" si="104"/>
        <v>ПТ</v>
      </c>
      <c r="L421" s="3" t="str">
        <f t="shared" si="104"/>
        <v>ПН</v>
      </c>
      <c r="M421" s="3" t="str">
        <f t="shared" si="104"/>
        <v>ВТ</v>
      </c>
      <c r="N421" s="3" t="str">
        <f t="shared" si="104"/>
        <v>СР</v>
      </c>
      <c r="O421" s="3" t="str">
        <f t="shared" si="104"/>
        <v>ЧТ</v>
      </c>
      <c r="P421" s="3" t="str">
        <f t="shared" si="104"/>
        <v>ПТ</v>
      </c>
      <c r="Q421" s="3" t="str">
        <f t="shared" si="104"/>
        <v>ПН</v>
      </c>
      <c r="R421" s="3" t="str">
        <f t="shared" si="104"/>
        <v>ВТ</v>
      </c>
      <c r="S421" s="3" t="str">
        <f t="shared" si="104"/>
        <v>СР</v>
      </c>
      <c r="T421" s="3" t="str">
        <f t="shared" si="104"/>
        <v>ЧТ</v>
      </c>
      <c r="U421" s="3" t="str">
        <f t="shared" si="104"/>
        <v>ПТ</v>
      </c>
      <c r="V421" s="3" t="str">
        <f t="shared" si="104"/>
        <v>ПН</v>
      </c>
      <c r="W421" s="3" t="str">
        <f t="shared" si="104"/>
        <v>ВТ</v>
      </c>
      <c r="X421" s="3" t="str">
        <f t="shared" si="104"/>
        <v>СР</v>
      </c>
      <c r="Y421" s="3" t="str">
        <f t="shared" si="104"/>
        <v>ЧТ</v>
      </c>
      <c r="Z421" s="3" t="str">
        <f t="shared" si="104"/>
        <v>ПТ</v>
      </c>
      <c r="AA421" s="41"/>
    </row>
    <row r="422" spans="2:30" hidden="1" outlineLevel="1" x14ac:dyDescent="0.3">
      <c r="B422" s="33"/>
      <c r="C422" s="35"/>
      <c r="D422" s="37"/>
      <c r="E422" s="39"/>
      <c r="F422" s="3">
        <f>F409</f>
        <v>1</v>
      </c>
      <c r="G422" s="3">
        <f t="shared" ref="G422:X422" si="105">G409</f>
        <v>4</v>
      </c>
      <c r="H422" s="3">
        <f t="shared" si="105"/>
        <v>5</v>
      </c>
      <c r="I422" s="3">
        <f t="shared" si="105"/>
        <v>6</v>
      </c>
      <c r="J422" s="3">
        <f t="shared" si="105"/>
        <v>7</v>
      </c>
      <c r="K422" s="3">
        <f t="shared" si="105"/>
        <v>8</v>
      </c>
      <c r="L422" s="3">
        <f t="shared" si="105"/>
        <v>11</v>
      </c>
      <c r="M422" s="3">
        <f t="shared" si="105"/>
        <v>12</v>
      </c>
      <c r="N422" s="3">
        <f t="shared" si="105"/>
        <v>13</v>
      </c>
      <c r="O422" s="3">
        <f t="shared" si="105"/>
        <v>14</v>
      </c>
      <c r="P422" s="3">
        <f t="shared" si="105"/>
        <v>15</v>
      </c>
      <c r="Q422" s="3">
        <f t="shared" si="105"/>
        <v>18</v>
      </c>
      <c r="R422" s="3">
        <f t="shared" si="105"/>
        <v>19</v>
      </c>
      <c r="S422" s="3">
        <f t="shared" si="105"/>
        <v>20</v>
      </c>
      <c r="T422" s="3">
        <f t="shared" si="105"/>
        <v>21</v>
      </c>
      <c r="U422" s="3">
        <f t="shared" si="105"/>
        <v>22</v>
      </c>
      <c r="V422" s="3">
        <f t="shared" si="105"/>
        <v>25</v>
      </c>
      <c r="W422" s="3">
        <f t="shared" si="105"/>
        <v>26</v>
      </c>
      <c r="X422" s="3">
        <f t="shared" si="105"/>
        <v>27</v>
      </c>
      <c r="Y422" s="3">
        <f>Y409</f>
        <v>28</v>
      </c>
      <c r="Z422" s="3">
        <f t="shared" ref="Z422" si="106">Z409</f>
        <v>29</v>
      </c>
      <c r="AA422" s="41"/>
    </row>
    <row r="423" spans="2:30" hidden="1" outlineLevel="1" x14ac:dyDescent="0.3">
      <c r="B423" s="27" t="str">
        <f>B410</f>
        <v>Маріян Валерія</v>
      </c>
      <c r="C423" s="4" t="str">
        <f>C410</f>
        <v>Начальник виробництва</v>
      </c>
      <c r="D423" s="3" t="str">
        <f>D410</f>
        <v>Так</v>
      </c>
      <c r="E423" s="10">
        <f>E410</f>
        <v>267.85714285714283</v>
      </c>
      <c r="F423" s="3">
        <f>F410</f>
        <v>0</v>
      </c>
      <c r="G423" s="3">
        <f t="shared" ref="G423:Z423" si="107">G410</f>
        <v>0</v>
      </c>
      <c r="H423" s="3">
        <f t="shared" si="107"/>
        <v>0</v>
      </c>
      <c r="I423" s="3">
        <f t="shared" si="107"/>
        <v>0</v>
      </c>
      <c r="J423" s="3">
        <f t="shared" si="107"/>
        <v>0</v>
      </c>
      <c r="K423" s="3">
        <f t="shared" si="107"/>
        <v>0</v>
      </c>
      <c r="L423" s="3">
        <f t="shared" si="107"/>
        <v>0</v>
      </c>
      <c r="M423" s="3">
        <f t="shared" si="107"/>
        <v>0</v>
      </c>
      <c r="N423" s="3">
        <f t="shared" si="107"/>
        <v>0</v>
      </c>
      <c r="O423" s="3">
        <f t="shared" si="107"/>
        <v>0</v>
      </c>
      <c r="P423" s="3">
        <f t="shared" si="107"/>
        <v>0</v>
      </c>
      <c r="Q423" s="3">
        <f t="shared" si="107"/>
        <v>0</v>
      </c>
      <c r="R423" s="3">
        <f t="shared" si="107"/>
        <v>0</v>
      </c>
      <c r="S423" s="3">
        <f t="shared" si="107"/>
        <v>0</v>
      </c>
      <c r="T423" s="3">
        <f t="shared" si="107"/>
        <v>0</v>
      </c>
      <c r="U423" s="3">
        <f t="shared" si="107"/>
        <v>0</v>
      </c>
      <c r="V423" s="3">
        <f t="shared" si="107"/>
        <v>0</v>
      </c>
      <c r="W423" s="3">
        <f t="shared" si="107"/>
        <v>0</v>
      </c>
      <c r="X423" s="3">
        <f t="shared" si="107"/>
        <v>0</v>
      </c>
      <c r="Y423" s="3">
        <f t="shared" si="107"/>
        <v>0</v>
      </c>
      <c r="Z423" s="3">
        <f t="shared" si="107"/>
        <v>0</v>
      </c>
      <c r="AA423" s="5">
        <f>AA410</f>
        <v>0</v>
      </c>
    </row>
    <row r="424" spans="2:30" ht="7.8" hidden="1" customHeight="1" outlineLevel="1" x14ac:dyDescent="0.3">
      <c r="B424" s="2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8"/>
    </row>
    <row r="425" spans="2:30" hidden="1" outlineLevel="1" x14ac:dyDescent="0.3">
      <c r="B425" s="27"/>
      <c r="C425" s="29" t="s">
        <v>37</v>
      </c>
      <c r="D425" s="21"/>
      <c r="E425" s="20" t="s">
        <v>31</v>
      </c>
      <c r="F425" s="20"/>
      <c r="G425" s="20"/>
      <c r="H425" s="20"/>
      <c r="I425" s="20" t="s">
        <v>40</v>
      </c>
      <c r="J425" s="20"/>
      <c r="K425" s="20"/>
      <c r="L425" s="20"/>
      <c r="M425" s="20"/>
      <c r="N425" s="20"/>
      <c r="O425" s="20" t="s">
        <v>34</v>
      </c>
      <c r="P425" s="20"/>
      <c r="Q425" s="20"/>
      <c r="R425" s="20"/>
      <c r="S425" s="20"/>
      <c r="T425" s="20"/>
      <c r="U425" s="20" t="s">
        <v>35</v>
      </c>
      <c r="V425" s="20"/>
      <c r="W425" s="20"/>
      <c r="X425" s="20"/>
      <c r="Y425" s="20"/>
      <c r="Z425" s="20"/>
      <c r="AA425" s="9" t="s">
        <v>36</v>
      </c>
      <c r="AC425" s="21" t="s">
        <v>45</v>
      </c>
      <c r="AD425" s="21"/>
    </row>
    <row r="426" spans="2:30" hidden="1" outlineLevel="1" x14ac:dyDescent="0.3">
      <c r="B426" s="27"/>
      <c r="C426" s="29"/>
      <c r="D426" s="21"/>
      <c r="E426" s="22">
        <f>E413</f>
        <v>0</v>
      </c>
      <c r="F426" s="22"/>
      <c r="G426" s="22"/>
      <c r="H426" s="22"/>
      <c r="I426" s="22">
        <f>I413</f>
        <v>0</v>
      </c>
      <c r="J426" s="22"/>
      <c r="K426" s="22"/>
      <c r="L426" s="22"/>
      <c r="M426" s="22"/>
      <c r="N426" s="22"/>
      <c r="O426" s="22">
        <f t="shared" ref="O426" si="108">O413</f>
        <v>0</v>
      </c>
      <c r="P426" s="22"/>
      <c r="Q426" s="22"/>
      <c r="R426" s="22"/>
      <c r="S426" s="22"/>
      <c r="T426" s="22"/>
      <c r="U426" s="22">
        <f>U413</f>
        <v>0</v>
      </c>
      <c r="V426" s="22"/>
      <c r="W426" s="22"/>
      <c r="X426" s="22"/>
      <c r="Y426" s="22"/>
      <c r="Z426" s="22"/>
      <c r="AA426" s="24">
        <f>AA413</f>
        <v>0</v>
      </c>
      <c r="AC426" s="21">
        <f>AC413</f>
        <v>21</v>
      </c>
      <c r="AD426" s="21"/>
    </row>
    <row r="427" spans="2:30" hidden="1" outlineLevel="1" x14ac:dyDescent="0.3">
      <c r="B427" s="27"/>
      <c r="C427" s="29"/>
      <c r="D427" s="21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4"/>
      <c r="AC427" s="21"/>
      <c r="AD427" s="21"/>
    </row>
    <row r="428" spans="2:30" ht="7.2" hidden="1" customHeight="1" outlineLevel="1" x14ac:dyDescent="0.3">
      <c r="B428" s="2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8"/>
    </row>
    <row r="429" spans="2:30" hidden="1" outlineLevel="1" x14ac:dyDescent="0.3">
      <c r="B429" s="27"/>
      <c r="C429" s="29" t="s">
        <v>38</v>
      </c>
      <c r="D429" s="21"/>
      <c r="E429" s="20" t="s">
        <v>39</v>
      </c>
      <c r="F429" s="20"/>
      <c r="G429" s="20"/>
      <c r="H429" s="20"/>
      <c r="I429" s="20" t="s">
        <v>41</v>
      </c>
      <c r="J429" s="20"/>
      <c r="K429" s="20"/>
      <c r="L429" s="20"/>
      <c r="M429" s="20"/>
      <c r="N429" s="20"/>
      <c r="O429" s="20" t="s">
        <v>42</v>
      </c>
      <c r="P429" s="20"/>
      <c r="Q429" s="20"/>
      <c r="R429" s="20"/>
      <c r="S429" s="20"/>
      <c r="T429" s="20"/>
      <c r="U429" s="20" t="s">
        <v>43</v>
      </c>
      <c r="V429" s="20"/>
      <c r="W429" s="20"/>
      <c r="X429" s="20"/>
      <c r="Y429" s="20"/>
      <c r="Z429" s="20"/>
      <c r="AA429" s="9" t="s">
        <v>36</v>
      </c>
      <c r="AC429" s="21" t="s">
        <v>46</v>
      </c>
      <c r="AD429" s="21"/>
    </row>
    <row r="430" spans="2:30" hidden="1" outlineLevel="1" x14ac:dyDescent="0.3">
      <c r="B430" s="27"/>
      <c r="C430" s="29"/>
      <c r="D430" s="21"/>
      <c r="E430" s="22">
        <f>E417</f>
        <v>0</v>
      </c>
      <c r="F430" s="22"/>
      <c r="G430" s="22"/>
      <c r="H430" s="22"/>
      <c r="I430" s="22">
        <f>I417</f>
        <v>0</v>
      </c>
      <c r="J430" s="22"/>
      <c r="K430" s="22"/>
      <c r="L430" s="22"/>
      <c r="M430" s="22"/>
      <c r="N430" s="22"/>
      <c r="O430" s="22">
        <f t="shared" ref="O430" si="109">O417</f>
        <v>0</v>
      </c>
      <c r="P430" s="22"/>
      <c r="Q430" s="22"/>
      <c r="R430" s="22"/>
      <c r="S430" s="22"/>
      <c r="T430" s="22"/>
      <c r="U430" s="22">
        <f t="shared" ref="U430" si="110">U417</f>
        <v>0</v>
      </c>
      <c r="V430" s="22"/>
      <c r="W430" s="22"/>
      <c r="X430" s="22"/>
      <c r="Y430" s="22"/>
      <c r="Z430" s="22"/>
      <c r="AA430" s="24">
        <f>AA417</f>
        <v>0</v>
      </c>
      <c r="AC430" s="26">
        <f>AC417</f>
        <v>45000</v>
      </c>
      <c r="AD430" s="26"/>
    </row>
    <row r="431" spans="2:30" ht="15" hidden="1" outlineLevel="1" thickBot="1" x14ac:dyDescent="0.35">
      <c r="B431" s="28"/>
      <c r="C431" s="30"/>
      <c r="D431" s="31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5"/>
      <c r="AC431" s="26"/>
      <c r="AD431" s="26"/>
    </row>
    <row r="432" spans="2:30" collapsed="1" x14ac:dyDescent="0.3"/>
  </sheetData>
  <mergeCells count="1008">
    <mergeCell ref="C7:D9"/>
    <mergeCell ref="I7:N7"/>
    <mergeCell ref="O7:T7"/>
    <mergeCell ref="I8:N9"/>
    <mergeCell ref="O8:T9"/>
    <mergeCell ref="B2:B4"/>
    <mergeCell ref="C2:C4"/>
    <mergeCell ref="D2:D4"/>
    <mergeCell ref="AA2:AA4"/>
    <mergeCell ref="F2:Z2"/>
    <mergeCell ref="B18:B26"/>
    <mergeCell ref="C20:D22"/>
    <mergeCell ref="E20:H20"/>
    <mergeCell ref="I20:N20"/>
    <mergeCell ref="O20:T20"/>
    <mergeCell ref="U20:Z20"/>
    <mergeCell ref="C24:D26"/>
    <mergeCell ref="E24:H24"/>
    <mergeCell ref="I24:N24"/>
    <mergeCell ref="O24:T24"/>
    <mergeCell ref="U24:Z24"/>
    <mergeCell ref="B15:B17"/>
    <mergeCell ref="C15:C17"/>
    <mergeCell ref="D15:D17"/>
    <mergeCell ref="E15:E17"/>
    <mergeCell ref="AC7:AD7"/>
    <mergeCell ref="AC8:AD9"/>
    <mergeCell ref="AC11:AD11"/>
    <mergeCell ref="AC12:AD13"/>
    <mergeCell ref="E11:H11"/>
    <mergeCell ref="I11:N11"/>
    <mergeCell ref="O11:T11"/>
    <mergeCell ref="U11:Z11"/>
    <mergeCell ref="E12:H13"/>
    <mergeCell ref="I12:N13"/>
    <mergeCell ref="O12:T13"/>
    <mergeCell ref="U12:Z13"/>
    <mergeCell ref="U7:Z7"/>
    <mergeCell ref="U8:Z9"/>
    <mergeCell ref="AA8:AA9"/>
    <mergeCell ref="C11:D13"/>
    <mergeCell ref="B5:B13"/>
    <mergeCell ref="AC2:AD2"/>
    <mergeCell ref="AC24:AD24"/>
    <mergeCell ref="E25:H26"/>
    <mergeCell ref="I25:N26"/>
    <mergeCell ref="O25:T26"/>
    <mergeCell ref="U25:Z26"/>
    <mergeCell ref="AA25:AA26"/>
    <mergeCell ref="AC25:AD26"/>
    <mergeCell ref="AC20:AD20"/>
    <mergeCell ref="E21:H22"/>
    <mergeCell ref="I21:N22"/>
    <mergeCell ref="O21:T22"/>
    <mergeCell ref="U21:Z22"/>
    <mergeCell ref="AA21:AA22"/>
    <mergeCell ref="AC21:AD22"/>
    <mergeCell ref="F15:Z15"/>
    <mergeCell ref="AA15:AA17"/>
    <mergeCell ref="AA12:AA13"/>
    <mergeCell ref="E2:E4"/>
    <mergeCell ref="E7:H7"/>
    <mergeCell ref="E8:H9"/>
    <mergeCell ref="O51:T51"/>
    <mergeCell ref="U51:Z51"/>
    <mergeCell ref="B42:B44"/>
    <mergeCell ref="C42:C44"/>
    <mergeCell ref="D42:D44"/>
    <mergeCell ref="E42:E44"/>
    <mergeCell ref="O38:T38"/>
    <mergeCell ref="U38:Z38"/>
    <mergeCell ref="AC38:AD38"/>
    <mergeCell ref="E39:H40"/>
    <mergeCell ref="I39:N40"/>
    <mergeCell ref="O39:T40"/>
    <mergeCell ref="U39:Z40"/>
    <mergeCell ref="AA39:AA40"/>
    <mergeCell ref="AC39:AD40"/>
    <mergeCell ref="O34:T34"/>
    <mergeCell ref="U34:Z34"/>
    <mergeCell ref="AC34:AD34"/>
    <mergeCell ref="E35:H36"/>
    <mergeCell ref="I35:N36"/>
    <mergeCell ref="O35:T36"/>
    <mergeCell ref="U35:Z36"/>
    <mergeCell ref="AA35:AA36"/>
    <mergeCell ref="AC35:AD36"/>
    <mergeCell ref="B32:B40"/>
    <mergeCell ref="C34:D36"/>
    <mergeCell ref="E34:H34"/>
    <mergeCell ref="I34:N34"/>
    <mergeCell ref="C38:D40"/>
    <mergeCell ref="E38:H38"/>
    <mergeCell ref="I38:N38"/>
    <mergeCell ref="F29:Z29"/>
    <mergeCell ref="AA29:AA31"/>
    <mergeCell ref="AC29:AD29"/>
    <mergeCell ref="B29:B31"/>
    <mergeCell ref="C29:C31"/>
    <mergeCell ref="D29:D31"/>
    <mergeCell ref="E29:E31"/>
    <mergeCell ref="AC51:AD51"/>
    <mergeCell ref="E52:H53"/>
    <mergeCell ref="I52:N53"/>
    <mergeCell ref="O52:T53"/>
    <mergeCell ref="U52:Z53"/>
    <mergeCell ref="AA52:AA53"/>
    <mergeCell ref="AC52:AD53"/>
    <mergeCell ref="AC47:AD47"/>
    <mergeCell ref="E48:H49"/>
    <mergeCell ref="I48:N49"/>
    <mergeCell ref="O48:T49"/>
    <mergeCell ref="U48:Z49"/>
    <mergeCell ref="AA48:AA49"/>
    <mergeCell ref="AC48:AD49"/>
    <mergeCell ref="F42:Z42"/>
    <mergeCell ref="AA42:AA44"/>
    <mergeCell ref="B45:B53"/>
    <mergeCell ref="C47:D49"/>
    <mergeCell ref="E47:H47"/>
    <mergeCell ref="I47:N47"/>
    <mergeCell ref="O47:T47"/>
    <mergeCell ref="U47:Z47"/>
    <mergeCell ref="C51:D53"/>
    <mergeCell ref="E51:H51"/>
    <mergeCell ref="I51:N51"/>
    <mergeCell ref="U61:Z61"/>
    <mergeCell ref="AC61:AD61"/>
    <mergeCell ref="E62:H63"/>
    <mergeCell ref="I62:N63"/>
    <mergeCell ref="O62:T63"/>
    <mergeCell ref="U62:Z63"/>
    <mergeCell ref="AA62:AA63"/>
    <mergeCell ref="AC62:AD63"/>
    <mergeCell ref="B59:B67"/>
    <mergeCell ref="C61:D63"/>
    <mergeCell ref="E61:H61"/>
    <mergeCell ref="I61:N61"/>
    <mergeCell ref="O61:T61"/>
    <mergeCell ref="C65:D67"/>
    <mergeCell ref="E65:H65"/>
    <mergeCell ref="I65:N65"/>
    <mergeCell ref="O65:T65"/>
    <mergeCell ref="I74:N74"/>
    <mergeCell ref="O74:T74"/>
    <mergeCell ref="U74:Z74"/>
    <mergeCell ref="C78:D80"/>
    <mergeCell ref="E78:H78"/>
    <mergeCell ref="I78:N78"/>
    <mergeCell ref="O78:T78"/>
    <mergeCell ref="U78:Z78"/>
    <mergeCell ref="B69:B71"/>
    <mergeCell ref="C69:C71"/>
    <mergeCell ref="D69:D71"/>
    <mergeCell ref="E69:E71"/>
    <mergeCell ref="F69:Z69"/>
    <mergeCell ref="U65:Z65"/>
    <mergeCell ref="AC65:AD65"/>
    <mergeCell ref="E66:H67"/>
    <mergeCell ref="I66:N67"/>
    <mergeCell ref="O66:T67"/>
    <mergeCell ref="U66:Z67"/>
    <mergeCell ref="AA66:AA67"/>
    <mergeCell ref="AC66:AD67"/>
    <mergeCell ref="AA56:AA58"/>
    <mergeCell ref="AC56:AD56"/>
    <mergeCell ref="B83:B85"/>
    <mergeCell ref="C83:C85"/>
    <mergeCell ref="D83:D85"/>
    <mergeCell ref="E83:E85"/>
    <mergeCell ref="F83:Z83"/>
    <mergeCell ref="AA83:AA85"/>
    <mergeCell ref="AC83:AD83"/>
    <mergeCell ref="B56:B58"/>
    <mergeCell ref="C56:C58"/>
    <mergeCell ref="D56:D58"/>
    <mergeCell ref="E56:E58"/>
    <mergeCell ref="F56:Z56"/>
    <mergeCell ref="AC78:AD78"/>
    <mergeCell ref="E79:H80"/>
    <mergeCell ref="I79:N80"/>
    <mergeCell ref="O79:T80"/>
    <mergeCell ref="U79:Z80"/>
    <mergeCell ref="AA79:AA80"/>
    <mergeCell ref="AC79:AD80"/>
    <mergeCell ref="AC74:AD74"/>
    <mergeCell ref="E75:H76"/>
    <mergeCell ref="I75:N76"/>
    <mergeCell ref="O75:T76"/>
    <mergeCell ref="U75:Z76"/>
    <mergeCell ref="AA75:AA76"/>
    <mergeCell ref="AC75:AD76"/>
    <mergeCell ref="AA69:AA71"/>
    <mergeCell ref="B72:B80"/>
    <mergeCell ref="C74:D76"/>
    <mergeCell ref="E74:H74"/>
    <mergeCell ref="U92:Z92"/>
    <mergeCell ref="AC92:AD92"/>
    <mergeCell ref="E93:H94"/>
    <mergeCell ref="I93:N94"/>
    <mergeCell ref="O93:T94"/>
    <mergeCell ref="U93:Z94"/>
    <mergeCell ref="AA93:AA94"/>
    <mergeCell ref="AC93:AD94"/>
    <mergeCell ref="U88:Z88"/>
    <mergeCell ref="AC88:AD88"/>
    <mergeCell ref="E89:H90"/>
    <mergeCell ref="I89:N90"/>
    <mergeCell ref="O89:T90"/>
    <mergeCell ref="U89:Z90"/>
    <mergeCell ref="AA89:AA90"/>
    <mergeCell ref="AC89:AD90"/>
    <mergeCell ref="B86:B94"/>
    <mergeCell ref="C88:D90"/>
    <mergeCell ref="E88:H88"/>
    <mergeCell ref="I88:N88"/>
    <mergeCell ref="O88:T88"/>
    <mergeCell ref="C92:D94"/>
    <mergeCell ref="E92:H92"/>
    <mergeCell ref="I92:N92"/>
    <mergeCell ref="O92:T92"/>
    <mergeCell ref="AC105:AD105"/>
    <mergeCell ref="E106:H107"/>
    <mergeCell ref="I106:N107"/>
    <mergeCell ref="O106:T107"/>
    <mergeCell ref="U106:Z107"/>
    <mergeCell ref="AA106:AA107"/>
    <mergeCell ref="AC106:AD107"/>
    <mergeCell ref="AC101:AD101"/>
    <mergeCell ref="E102:H103"/>
    <mergeCell ref="I102:N103"/>
    <mergeCell ref="O102:T103"/>
    <mergeCell ref="U102:Z103"/>
    <mergeCell ref="AA102:AA103"/>
    <mergeCell ref="AC102:AD103"/>
    <mergeCell ref="AA96:AA98"/>
    <mergeCell ref="B99:B107"/>
    <mergeCell ref="C101:D103"/>
    <mergeCell ref="E101:H101"/>
    <mergeCell ref="I101:N101"/>
    <mergeCell ref="O101:T101"/>
    <mergeCell ref="U101:Z101"/>
    <mergeCell ref="C105:D107"/>
    <mergeCell ref="E105:H105"/>
    <mergeCell ref="I105:N105"/>
    <mergeCell ref="O105:T105"/>
    <mergeCell ref="U105:Z105"/>
    <mergeCell ref="B96:B98"/>
    <mergeCell ref="C96:C98"/>
    <mergeCell ref="D96:D98"/>
    <mergeCell ref="E96:E98"/>
    <mergeCell ref="F96:Z96"/>
    <mergeCell ref="AA110:AA112"/>
    <mergeCell ref="AC110:AD110"/>
    <mergeCell ref="B113:B121"/>
    <mergeCell ref="C115:D117"/>
    <mergeCell ref="E115:H115"/>
    <mergeCell ref="I115:N115"/>
    <mergeCell ref="O115:T115"/>
    <mergeCell ref="U115:Z115"/>
    <mergeCell ref="AC115:AD115"/>
    <mergeCell ref="E116:H117"/>
    <mergeCell ref="I116:N117"/>
    <mergeCell ref="O116:T117"/>
    <mergeCell ref="U116:Z117"/>
    <mergeCell ref="AA116:AA117"/>
    <mergeCell ref="AC116:AD117"/>
    <mergeCell ref="C119:D121"/>
    <mergeCell ref="B110:B112"/>
    <mergeCell ref="C110:C112"/>
    <mergeCell ref="D110:D112"/>
    <mergeCell ref="E110:E112"/>
    <mergeCell ref="F110:Z110"/>
    <mergeCell ref="AC120:AD121"/>
    <mergeCell ref="B123:B125"/>
    <mergeCell ref="C123:C125"/>
    <mergeCell ref="D123:D125"/>
    <mergeCell ref="E123:E125"/>
    <mergeCell ref="F123:Z123"/>
    <mergeCell ref="AA123:AA125"/>
    <mergeCell ref="E120:H121"/>
    <mergeCell ref="I120:N121"/>
    <mergeCell ref="O120:T121"/>
    <mergeCell ref="U120:Z121"/>
    <mergeCell ref="AA120:AA121"/>
    <mergeCell ref="E119:H119"/>
    <mergeCell ref="I119:N119"/>
    <mergeCell ref="O119:T119"/>
    <mergeCell ref="U119:Z119"/>
    <mergeCell ref="AC119:AD119"/>
    <mergeCell ref="U132:Z132"/>
    <mergeCell ref="AC132:AD132"/>
    <mergeCell ref="E133:H134"/>
    <mergeCell ref="I133:N134"/>
    <mergeCell ref="O133:T134"/>
    <mergeCell ref="U133:Z134"/>
    <mergeCell ref="AA133:AA134"/>
    <mergeCell ref="AC133:AD134"/>
    <mergeCell ref="U128:Z128"/>
    <mergeCell ref="AC128:AD128"/>
    <mergeCell ref="E129:H130"/>
    <mergeCell ref="I129:N130"/>
    <mergeCell ref="O129:T130"/>
    <mergeCell ref="U129:Z130"/>
    <mergeCell ref="AA129:AA130"/>
    <mergeCell ref="AC129:AD130"/>
    <mergeCell ref="B126:B134"/>
    <mergeCell ref="C128:D130"/>
    <mergeCell ref="E128:H128"/>
    <mergeCell ref="I128:N128"/>
    <mergeCell ref="O128:T128"/>
    <mergeCell ref="C132:D134"/>
    <mergeCell ref="E132:H132"/>
    <mergeCell ref="I132:N132"/>
    <mergeCell ref="O132:T132"/>
    <mergeCell ref="AA137:AA139"/>
    <mergeCell ref="AC137:AD137"/>
    <mergeCell ref="B140:B148"/>
    <mergeCell ref="C142:D144"/>
    <mergeCell ref="E142:H142"/>
    <mergeCell ref="I142:N142"/>
    <mergeCell ref="O142:T142"/>
    <mergeCell ref="U142:Z142"/>
    <mergeCell ref="AC142:AD142"/>
    <mergeCell ref="E143:H144"/>
    <mergeCell ref="I143:N144"/>
    <mergeCell ref="O143:T144"/>
    <mergeCell ref="U143:Z144"/>
    <mergeCell ref="AA143:AA144"/>
    <mergeCell ref="AC143:AD144"/>
    <mergeCell ref="C146:D148"/>
    <mergeCell ref="B137:B139"/>
    <mergeCell ref="C137:C139"/>
    <mergeCell ref="D137:D139"/>
    <mergeCell ref="E137:E139"/>
    <mergeCell ref="F137:Z137"/>
    <mergeCell ref="AC147:AD148"/>
    <mergeCell ref="B150:B152"/>
    <mergeCell ref="C150:C152"/>
    <mergeCell ref="D150:D152"/>
    <mergeCell ref="E150:E152"/>
    <mergeCell ref="F150:Z150"/>
    <mergeCell ref="AA150:AA152"/>
    <mergeCell ref="E147:H148"/>
    <mergeCell ref="I147:N148"/>
    <mergeCell ref="O147:T148"/>
    <mergeCell ref="U147:Z148"/>
    <mergeCell ref="AA147:AA148"/>
    <mergeCell ref="E146:H146"/>
    <mergeCell ref="I146:N146"/>
    <mergeCell ref="O146:T146"/>
    <mergeCell ref="U146:Z146"/>
    <mergeCell ref="AC146:AD146"/>
    <mergeCell ref="U159:Z159"/>
    <mergeCell ref="AC159:AD159"/>
    <mergeCell ref="E160:H161"/>
    <mergeCell ref="I160:N161"/>
    <mergeCell ref="O160:T161"/>
    <mergeCell ref="U160:Z161"/>
    <mergeCell ref="AA160:AA161"/>
    <mergeCell ref="AC160:AD161"/>
    <mergeCell ref="U155:Z155"/>
    <mergeCell ref="AC155:AD155"/>
    <mergeCell ref="E156:H157"/>
    <mergeCell ref="I156:N157"/>
    <mergeCell ref="O156:T157"/>
    <mergeCell ref="U156:Z157"/>
    <mergeCell ref="AA156:AA157"/>
    <mergeCell ref="AC156:AD157"/>
    <mergeCell ref="B153:B161"/>
    <mergeCell ref="C155:D157"/>
    <mergeCell ref="E155:H155"/>
    <mergeCell ref="I155:N155"/>
    <mergeCell ref="O155:T155"/>
    <mergeCell ref="C159:D161"/>
    <mergeCell ref="E159:H159"/>
    <mergeCell ref="I159:N159"/>
    <mergeCell ref="O159:T159"/>
    <mergeCell ref="AA164:AA166"/>
    <mergeCell ref="AC164:AD164"/>
    <mergeCell ref="B167:B175"/>
    <mergeCell ref="C169:D171"/>
    <mergeCell ref="E169:H169"/>
    <mergeCell ref="I169:N169"/>
    <mergeCell ref="O169:T169"/>
    <mergeCell ref="U169:Z169"/>
    <mergeCell ref="AC169:AD169"/>
    <mergeCell ref="E170:H171"/>
    <mergeCell ref="I170:N171"/>
    <mergeCell ref="O170:T171"/>
    <mergeCell ref="U170:Z171"/>
    <mergeCell ref="AA170:AA171"/>
    <mergeCell ref="AC170:AD171"/>
    <mergeCell ref="C173:D175"/>
    <mergeCell ref="B164:B166"/>
    <mergeCell ref="C164:C166"/>
    <mergeCell ref="D164:D166"/>
    <mergeCell ref="E164:E166"/>
    <mergeCell ref="F164:Z164"/>
    <mergeCell ref="AC174:AD175"/>
    <mergeCell ref="B177:B179"/>
    <mergeCell ref="C177:C179"/>
    <mergeCell ref="D177:D179"/>
    <mergeCell ref="E177:E179"/>
    <mergeCell ref="F177:Z177"/>
    <mergeCell ref="AA177:AA179"/>
    <mergeCell ref="E174:H175"/>
    <mergeCell ref="I174:N175"/>
    <mergeCell ref="O174:T175"/>
    <mergeCell ref="U174:Z175"/>
    <mergeCell ref="AA174:AA175"/>
    <mergeCell ref="E173:H173"/>
    <mergeCell ref="I173:N173"/>
    <mergeCell ref="O173:T173"/>
    <mergeCell ref="U173:Z173"/>
    <mergeCell ref="AC173:AD173"/>
    <mergeCell ref="U186:Z186"/>
    <mergeCell ref="AC186:AD186"/>
    <mergeCell ref="E187:H188"/>
    <mergeCell ref="I187:N188"/>
    <mergeCell ref="O187:T188"/>
    <mergeCell ref="U187:Z188"/>
    <mergeCell ref="AA187:AA188"/>
    <mergeCell ref="AC187:AD188"/>
    <mergeCell ref="U182:Z182"/>
    <mergeCell ref="AC182:AD182"/>
    <mergeCell ref="E183:H184"/>
    <mergeCell ref="I183:N184"/>
    <mergeCell ref="O183:T184"/>
    <mergeCell ref="U183:Z184"/>
    <mergeCell ref="AA183:AA184"/>
    <mergeCell ref="AC183:AD184"/>
    <mergeCell ref="B180:B188"/>
    <mergeCell ref="C182:D184"/>
    <mergeCell ref="E182:H182"/>
    <mergeCell ref="I182:N182"/>
    <mergeCell ref="O182:T182"/>
    <mergeCell ref="C186:D188"/>
    <mergeCell ref="E186:H186"/>
    <mergeCell ref="I186:N186"/>
    <mergeCell ref="O186:T186"/>
    <mergeCell ref="AA191:AA193"/>
    <mergeCell ref="AC191:AD191"/>
    <mergeCell ref="B194:B202"/>
    <mergeCell ref="C196:D198"/>
    <mergeCell ref="E196:H196"/>
    <mergeCell ref="I196:N196"/>
    <mergeCell ref="O196:T196"/>
    <mergeCell ref="U196:Z196"/>
    <mergeCell ref="AC196:AD196"/>
    <mergeCell ref="E197:H198"/>
    <mergeCell ref="I197:N198"/>
    <mergeCell ref="O197:T198"/>
    <mergeCell ref="U197:Z198"/>
    <mergeCell ref="AA197:AA198"/>
    <mergeCell ref="AC197:AD198"/>
    <mergeCell ref="C200:D202"/>
    <mergeCell ref="B191:B193"/>
    <mergeCell ref="C191:C193"/>
    <mergeCell ref="D191:D193"/>
    <mergeCell ref="E191:E193"/>
    <mergeCell ref="F191:Z191"/>
    <mergeCell ref="AC201:AD202"/>
    <mergeCell ref="B204:B206"/>
    <mergeCell ref="C204:C206"/>
    <mergeCell ref="D204:D206"/>
    <mergeCell ref="E204:E206"/>
    <mergeCell ref="F204:Z204"/>
    <mergeCell ref="AA204:AA206"/>
    <mergeCell ref="E201:H202"/>
    <mergeCell ref="I201:N202"/>
    <mergeCell ref="O201:T202"/>
    <mergeCell ref="U201:Z202"/>
    <mergeCell ref="AA201:AA202"/>
    <mergeCell ref="E200:H200"/>
    <mergeCell ref="I200:N200"/>
    <mergeCell ref="O200:T200"/>
    <mergeCell ref="U200:Z200"/>
    <mergeCell ref="AC200:AD200"/>
    <mergeCell ref="U213:Z213"/>
    <mergeCell ref="AC213:AD213"/>
    <mergeCell ref="E214:H215"/>
    <mergeCell ref="I214:N215"/>
    <mergeCell ref="O214:T215"/>
    <mergeCell ref="U214:Z215"/>
    <mergeCell ref="AA214:AA215"/>
    <mergeCell ref="AC214:AD215"/>
    <mergeCell ref="U209:Z209"/>
    <mergeCell ref="AC209:AD209"/>
    <mergeCell ref="E210:H211"/>
    <mergeCell ref="I210:N211"/>
    <mergeCell ref="O210:T211"/>
    <mergeCell ref="U210:Z211"/>
    <mergeCell ref="AA210:AA211"/>
    <mergeCell ref="AC210:AD211"/>
    <mergeCell ref="B207:B215"/>
    <mergeCell ref="C209:D211"/>
    <mergeCell ref="E209:H209"/>
    <mergeCell ref="I209:N209"/>
    <mergeCell ref="O209:T209"/>
    <mergeCell ref="C213:D215"/>
    <mergeCell ref="E213:H213"/>
    <mergeCell ref="I213:N213"/>
    <mergeCell ref="O213:T213"/>
    <mergeCell ref="AA218:AA220"/>
    <mergeCell ref="AC218:AD218"/>
    <mergeCell ref="B221:B229"/>
    <mergeCell ref="C223:D225"/>
    <mergeCell ref="E223:H223"/>
    <mergeCell ref="I223:N223"/>
    <mergeCell ref="O223:T223"/>
    <mergeCell ref="U223:Z223"/>
    <mergeCell ref="AC223:AD223"/>
    <mergeCell ref="E224:H225"/>
    <mergeCell ref="I224:N225"/>
    <mergeCell ref="O224:T225"/>
    <mergeCell ref="U224:Z225"/>
    <mergeCell ref="AA224:AA225"/>
    <mergeCell ref="AC224:AD225"/>
    <mergeCell ref="C227:D229"/>
    <mergeCell ref="B218:B220"/>
    <mergeCell ref="C218:C220"/>
    <mergeCell ref="D218:D220"/>
    <mergeCell ref="E218:E220"/>
    <mergeCell ref="F218:Z218"/>
    <mergeCell ref="AC228:AD229"/>
    <mergeCell ref="B231:B233"/>
    <mergeCell ref="C231:C233"/>
    <mergeCell ref="D231:D233"/>
    <mergeCell ref="E231:E233"/>
    <mergeCell ref="F231:Z231"/>
    <mergeCell ref="AA231:AA233"/>
    <mergeCell ref="E228:H229"/>
    <mergeCell ref="I228:N229"/>
    <mergeCell ref="O228:T229"/>
    <mergeCell ref="U228:Z229"/>
    <mergeCell ref="AA228:AA229"/>
    <mergeCell ref="E227:H227"/>
    <mergeCell ref="I227:N227"/>
    <mergeCell ref="O227:T227"/>
    <mergeCell ref="U227:Z227"/>
    <mergeCell ref="AC227:AD227"/>
    <mergeCell ref="U240:Z240"/>
    <mergeCell ref="AC240:AD240"/>
    <mergeCell ref="E241:H242"/>
    <mergeCell ref="I241:N242"/>
    <mergeCell ref="O241:T242"/>
    <mergeCell ref="U241:Z242"/>
    <mergeCell ref="AA241:AA242"/>
    <mergeCell ref="AC241:AD242"/>
    <mergeCell ref="U236:Z236"/>
    <mergeCell ref="AC236:AD236"/>
    <mergeCell ref="E237:H238"/>
    <mergeCell ref="I237:N238"/>
    <mergeCell ref="O237:T238"/>
    <mergeCell ref="U237:Z238"/>
    <mergeCell ref="AA237:AA238"/>
    <mergeCell ref="AC237:AD238"/>
    <mergeCell ref="B234:B242"/>
    <mergeCell ref="C236:D238"/>
    <mergeCell ref="E236:H236"/>
    <mergeCell ref="I236:N236"/>
    <mergeCell ref="O236:T236"/>
    <mergeCell ref="C240:D242"/>
    <mergeCell ref="E240:H240"/>
    <mergeCell ref="I240:N240"/>
    <mergeCell ref="O240:T240"/>
    <mergeCell ref="AA245:AA247"/>
    <mergeCell ref="AC245:AD245"/>
    <mergeCell ref="B248:B256"/>
    <mergeCell ref="C250:D252"/>
    <mergeCell ref="E250:H250"/>
    <mergeCell ref="I250:N250"/>
    <mergeCell ref="O250:T250"/>
    <mergeCell ref="U250:Z250"/>
    <mergeCell ref="AC250:AD250"/>
    <mergeCell ref="E251:H252"/>
    <mergeCell ref="I251:N252"/>
    <mergeCell ref="O251:T252"/>
    <mergeCell ref="U251:Z252"/>
    <mergeCell ref="AA251:AA252"/>
    <mergeCell ref="AC251:AD252"/>
    <mergeCell ref="C254:D256"/>
    <mergeCell ref="B245:B247"/>
    <mergeCell ref="C245:C247"/>
    <mergeCell ref="D245:D247"/>
    <mergeCell ref="E245:E247"/>
    <mergeCell ref="F245:Z245"/>
    <mergeCell ref="AC255:AD256"/>
    <mergeCell ref="B258:B260"/>
    <mergeCell ref="C258:C260"/>
    <mergeCell ref="D258:D260"/>
    <mergeCell ref="E258:E260"/>
    <mergeCell ref="F258:Z258"/>
    <mergeCell ref="AA258:AA260"/>
    <mergeCell ref="E255:H256"/>
    <mergeCell ref="I255:N256"/>
    <mergeCell ref="O255:T256"/>
    <mergeCell ref="U255:Z256"/>
    <mergeCell ref="AA255:AA256"/>
    <mergeCell ref="E254:H254"/>
    <mergeCell ref="I254:N254"/>
    <mergeCell ref="O254:T254"/>
    <mergeCell ref="U254:Z254"/>
    <mergeCell ref="AC254:AD254"/>
    <mergeCell ref="U267:Z267"/>
    <mergeCell ref="AC267:AD267"/>
    <mergeCell ref="E268:H269"/>
    <mergeCell ref="I268:N269"/>
    <mergeCell ref="O268:T269"/>
    <mergeCell ref="U268:Z269"/>
    <mergeCell ref="AA268:AA269"/>
    <mergeCell ref="AC268:AD269"/>
    <mergeCell ref="U263:Z263"/>
    <mergeCell ref="AC263:AD263"/>
    <mergeCell ref="E264:H265"/>
    <mergeCell ref="I264:N265"/>
    <mergeCell ref="O264:T265"/>
    <mergeCell ref="U264:Z265"/>
    <mergeCell ref="AA264:AA265"/>
    <mergeCell ref="AC264:AD265"/>
    <mergeCell ref="B261:B269"/>
    <mergeCell ref="C263:D265"/>
    <mergeCell ref="E263:H263"/>
    <mergeCell ref="I263:N263"/>
    <mergeCell ref="O263:T263"/>
    <mergeCell ref="C267:D269"/>
    <mergeCell ref="E267:H267"/>
    <mergeCell ref="I267:N267"/>
    <mergeCell ref="O267:T267"/>
    <mergeCell ref="AA272:AA274"/>
    <mergeCell ref="AC272:AD272"/>
    <mergeCell ref="B275:B283"/>
    <mergeCell ref="C277:D279"/>
    <mergeCell ref="E277:H277"/>
    <mergeCell ref="I277:N277"/>
    <mergeCell ref="O277:T277"/>
    <mergeCell ref="U277:Z277"/>
    <mergeCell ref="AC277:AD277"/>
    <mergeCell ref="E278:H279"/>
    <mergeCell ref="I278:N279"/>
    <mergeCell ref="O278:T279"/>
    <mergeCell ref="U278:Z279"/>
    <mergeCell ref="AA278:AA279"/>
    <mergeCell ref="AC278:AD279"/>
    <mergeCell ref="C281:D283"/>
    <mergeCell ref="B272:B274"/>
    <mergeCell ref="C272:C274"/>
    <mergeCell ref="D272:D274"/>
    <mergeCell ref="E272:E274"/>
    <mergeCell ref="F272:Z272"/>
    <mergeCell ref="AC282:AD283"/>
    <mergeCell ref="B285:B287"/>
    <mergeCell ref="C285:C287"/>
    <mergeCell ref="D285:D287"/>
    <mergeCell ref="E285:E287"/>
    <mergeCell ref="F285:Z285"/>
    <mergeCell ref="AA285:AA287"/>
    <mergeCell ref="E282:H283"/>
    <mergeCell ref="I282:N283"/>
    <mergeCell ref="O282:T283"/>
    <mergeCell ref="U282:Z283"/>
    <mergeCell ref="AA282:AA283"/>
    <mergeCell ref="E281:H281"/>
    <mergeCell ref="I281:N281"/>
    <mergeCell ref="O281:T281"/>
    <mergeCell ref="U281:Z281"/>
    <mergeCell ref="AC281:AD281"/>
    <mergeCell ref="U294:Z294"/>
    <mergeCell ref="AC294:AD294"/>
    <mergeCell ref="E295:H296"/>
    <mergeCell ref="I295:N296"/>
    <mergeCell ref="O295:T296"/>
    <mergeCell ref="U295:Z296"/>
    <mergeCell ref="AA295:AA296"/>
    <mergeCell ref="AC295:AD296"/>
    <mergeCell ref="U290:Z290"/>
    <mergeCell ref="AC290:AD290"/>
    <mergeCell ref="E291:H292"/>
    <mergeCell ref="I291:N292"/>
    <mergeCell ref="O291:T292"/>
    <mergeCell ref="U291:Z292"/>
    <mergeCell ref="AA291:AA292"/>
    <mergeCell ref="AC291:AD292"/>
    <mergeCell ref="B288:B296"/>
    <mergeCell ref="C290:D292"/>
    <mergeCell ref="E290:H290"/>
    <mergeCell ref="I290:N290"/>
    <mergeCell ref="O290:T290"/>
    <mergeCell ref="C294:D296"/>
    <mergeCell ref="E294:H294"/>
    <mergeCell ref="I294:N294"/>
    <mergeCell ref="O294:T294"/>
    <mergeCell ref="AA299:AA301"/>
    <mergeCell ref="AC299:AD299"/>
    <mergeCell ref="B302:B310"/>
    <mergeCell ref="C304:D306"/>
    <mergeCell ref="E304:H304"/>
    <mergeCell ref="I304:N304"/>
    <mergeCell ref="O304:T304"/>
    <mergeCell ref="U304:Z304"/>
    <mergeCell ref="AC304:AD304"/>
    <mergeCell ref="E305:H306"/>
    <mergeCell ref="I305:N306"/>
    <mergeCell ref="O305:T306"/>
    <mergeCell ref="U305:Z306"/>
    <mergeCell ref="AA305:AA306"/>
    <mergeCell ref="AC305:AD306"/>
    <mergeCell ref="C308:D310"/>
    <mergeCell ref="B299:B301"/>
    <mergeCell ref="C299:C301"/>
    <mergeCell ref="D299:D301"/>
    <mergeCell ref="E299:E301"/>
    <mergeCell ref="F299:Z299"/>
    <mergeCell ref="AC309:AD310"/>
    <mergeCell ref="B312:B314"/>
    <mergeCell ref="C312:C314"/>
    <mergeCell ref="D312:D314"/>
    <mergeCell ref="E312:E314"/>
    <mergeCell ref="F312:Z312"/>
    <mergeCell ref="AA312:AA314"/>
    <mergeCell ref="E309:H310"/>
    <mergeCell ref="I309:N310"/>
    <mergeCell ref="O309:T310"/>
    <mergeCell ref="U309:Z310"/>
    <mergeCell ref="AA309:AA310"/>
    <mergeCell ref="E308:H308"/>
    <mergeCell ref="I308:N308"/>
    <mergeCell ref="O308:T308"/>
    <mergeCell ref="U308:Z308"/>
    <mergeCell ref="AC308:AD308"/>
    <mergeCell ref="U321:Z321"/>
    <mergeCell ref="AC321:AD321"/>
    <mergeCell ref="E322:H323"/>
    <mergeCell ref="I322:N323"/>
    <mergeCell ref="O322:T323"/>
    <mergeCell ref="U322:Z323"/>
    <mergeCell ref="AA322:AA323"/>
    <mergeCell ref="AC322:AD323"/>
    <mergeCell ref="U317:Z317"/>
    <mergeCell ref="AC317:AD317"/>
    <mergeCell ref="E318:H319"/>
    <mergeCell ref="I318:N319"/>
    <mergeCell ref="O318:T319"/>
    <mergeCell ref="U318:Z319"/>
    <mergeCell ref="AA318:AA319"/>
    <mergeCell ref="AC318:AD319"/>
    <mergeCell ref="B315:B323"/>
    <mergeCell ref="C317:D319"/>
    <mergeCell ref="E317:H317"/>
    <mergeCell ref="I317:N317"/>
    <mergeCell ref="O317:T317"/>
    <mergeCell ref="C321:D323"/>
    <mergeCell ref="E321:H321"/>
    <mergeCell ref="I321:N321"/>
    <mergeCell ref="O321:T321"/>
    <mergeCell ref="AA326:AA328"/>
    <mergeCell ref="AC326:AD326"/>
    <mergeCell ref="B329:B337"/>
    <mergeCell ref="C331:D333"/>
    <mergeCell ref="E331:H331"/>
    <mergeCell ref="I331:N331"/>
    <mergeCell ref="O331:T331"/>
    <mergeCell ref="U331:Z331"/>
    <mergeCell ref="AC331:AD331"/>
    <mergeCell ref="E332:H333"/>
    <mergeCell ref="I332:N333"/>
    <mergeCell ref="O332:T333"/>
    <mergeCell ref="U332:Z333"/>
    <mergeCell ref="AA332:AA333"/>
    <mergeCell ref="AC332:AD333"/>
    <mergeCell ref="C335:D337"/>
    <mergeCell ref="B326:B328"/>
    <mergeCell ref="C326:C328"/>
    <mergeCell ref="D326:D328"/>
    <mergeCell ref="E326:E328"/>
    <mergeCell ref="F326:Z326"/>
    <mergeCell ref="AC336:AD337"/>
    <mergeCell ref="B339:B341"/>
    <mergeCell ref="C339:C341"/>
    <mergeCell ref="D339:D341"/>
    <mergeCell ref="E339:E341"/>
    <mergeCell ref="F339:Z339"/>
    <mergeCell ref="AA339:AA341"/>
    <mergeCell ref="E336:H337"/>
    <mergeCell ref="I336:N337"/>
    <mergeCell ref="O336:T337"/>
    <mergeCell ref="U336:Z337"/>
    <mergeCell ref="AA336:AA337"/>
    <mergeCell ref="E335:H335"/>
    <mergeCell ref="I335:N335"/>
    <mergeCell ref="O335:T335"/>
    <mergeCell ref="U335:Z335"/>
    <mergeCell ref="AC335:AD335"/>
    <mergeCell ref="U348:Z348"/>
    <mergeCell ref="AC348:AD348"/>
    <mergeCell ref="E349:H350"/>
    <mergeCell ref="I349:N350"/>
    <mergeCell ref="O349:T350"/>
    <mergeCell ref="U349:Z350"/>
    <mergeCell ref="AA349:AA350"/>
    <mergeCell ref="AC349:AD350"/>
    <mergeCell ref="U344:Z344"/>
    <mergeCell ref="AC344:AD344"/>
    <mergeCell ref="E345:H346"/>
    <mergeCell ref="I345:N346"/>
    <mergeCell ref="O345:T346"/>
    <mergeCell ref="U345:Z346"/>
    <mergeCell ref="AA345:AA346"/>
    <mergeCell ref="AC345:AD346"/>
    <mergeCell ref="B342:B350"/>
    <mergeCell ref="C344:D346"/>
    <mergeCell ref="E344:H344"/>
    <mergeCell ref="I344:N344"/>
    <mergeCell ref="O344:T344"/>
    <mergeCell ref="C348:D350"/>
    <mergeCell ref="E348:H348"/>
    <mergeCell ref="I348:N348"/>
    <mergeCell ref="O348:T348"/>
    <mergeCell ref="AA353:AA355"/>
    <mergeCell ref="AC353:AD353"/>
    <mergeCell ref="B356:B364"/>
    <mergeCell ref="C358:D360"/>
    <mergeCell ref="E358:H358"/>
    <mergeCell ref="I358:N358"/>
    <mergeCell ref="O358:T358"/>
    <mergeCell ref="U358:Z358"/>
    <mergeCell ref="AC358:AD358"/>
    <mergeCell ref="E359:H360"/>
    <mergeCell ref="I359:N360"/>
    <mergeCell ref="O359:T360"/>
    <mergeCell ref="U359:Z360"/>
    <mergeCell ref="AA359:AA360"/>
    <mergeCell ref="AC359:AD360"/>
    <mergeCell ref="C362:D364"/>
    <mergeCell ref="B353:B355"/>
    <mergeCell ref="C353:C355"/>
    <mergeCell ref="D353:D355"/>
    <mergeCell ref="E353:E355"/>
    <mergeCell ref="F353:Z353"/>
    <mergeCell ref="AC363:AD364"/>
    <mergeCell ref="B366:B368"/>
    <mergeCell ref="C366:C368"/>
    <mergeCell ref="D366:D368"/>
    <mergeCell ref="E366:E368"/>
    <mergeCell ref="F366:Z366"/>
    <mergeCell ref="AA366:AA368"/>
    <mergeCell ref="E363:H364"/>
    <mergeCell ref="I363:N364"/>
    <mergeCell ref="O363:T364"/>
    <mergeCell ref="U363:Z364"/>
    <mergeCell ref="AA363:AA364"/>
    <mergeCell ref="E362:H362"/>
    <mergeCell ref="I362:N362"/>
    <mergeCell ref="O362:T362"/>
    <mergeCell ref="U362:Z362"/>
    <mergeCell ref="AC362:AD362"/>
    <mergeCell ref="U375:Z375"/>
    <mergeCell ref="AC375:AD375"/>
    <mergeCell ref="E376:H377"/>
    <mergeCell ref="I376:N377"/>
    <mergeCell ref="O376:T377"/>
    <mergeCell ref="U376:Z377"/>
    <mergeCell ref="AA376:AA377"/>
    <mergeCell ref="AC376:AD377"/>
    <mergeCell ref="U371:Z371"/>
    <mergeCell ref="AC371:AD371"/>
    <mergeCell ref="E372:H373"/>
    <mergeCell ref="I372:N373"/>
    <mergeCell ref="O372:T373"/>
    <mergeCell ref="U372:Z373"/>
    <mergeCell ref="AA372:AA373"/>
    <mergeCell ref="AC372:AD373"/>
    <mergeCell ref="B369:B377"/>
    <mergeCell ref="C371:D373"/>
    <mergeCell ref="E371:H371"/>
    <mergeCell ref="I371:N371"/>
    <mergeCell ref="O371:T371"/>
    <mergeCell ref="C375:D377"/>
    <mergeCell ref="E375:H375"/>
    <mergeCell ref="I375:N375"/>
    <mergeCell ref="O375:T375"/>
    <mergeCell ref="AA380:AA382"/>
    <mergeCell ref="AC380:AD380"/>
    <mergeCell ref="B383:B391"/>
    <mergeCell ref="C385:D387"/>
    <mergeCell ref="E385:H385"/>
    <mergeCell ref="I385:N385"/>
    <mergeCell ref="O385:T385"/>
    <mergeCell ref="U385:Z385"/>
    <mergeCell ref="AC385:AD385"/>
    <mergeCell ref="E386:H387"/>
    <mergeCell ref="I386:N387"/>
    <mergeCell ref="O386:T387"/>
    <mergeCell ref="U386:Z387"/>
    <mergeCell ref="AA386:AA387"/>
    <mergeCell ref="AC386:AD387"/>
    <mergeCell ref="C389:D391"/>
    <mergeCell ref="B380:B382"/>
    <mergeCell ref="C380:C382"/>
    <mergeCell ref="D380:D382"/>
    <mergeCell ref="E380:E382"/>
    <mergeCell ref="F380:Z380"/>
    <mergeCell ref="AC390:AD391"/>
    <mergeCell ref="B393:B395"/>
    <mergeCell ref="C393:C395"/>
    <mergeCell ref="D393:D395"/>
    <mergeCell ref="E393:E395"/>
    <mergeCell ref="F393:Z393"/>
    <mergeCell ref="AA393:AA395"/>
    <mergeCell ref="E390:H391"/>
    <mergeCell ref="I390:N391"/>
    <mergeCell ref="O390:T391"/>
    <mergeCell ref="U390:Z391"/>
    <mergeCell ref="AA390:AA391"/>
    <mergeCell ref="E389:H389"/>
    <mergeCell ref="I389:N389"/>
    <mergeCell ref="O389:T389"/>
    <mergeCell ref="U389:Z389"/>
    <mergeCell ref="AC389:AD389"/>
    <mergeCell ref="U402:Z402"/>
    <mergeCell ref="AC402:AD402"/>
    <mergeCell ref="E403:H404"/>
    <mergeCell ref="I403:N404"/>
    <mergeCell ref="O403:T404"/>
    <mergeCell ref="U403:Z404"/>
    <mergeCell ref="AA403:AA404"/>
    <mergeCell ref="AC403:AD404"/>
    <mergeCell ref="U398:Z398"/>
    <mergeCell ref="AC398:AD398"/>
    <mergeCell ref="E399:H400"/>
    <mergeCell ref="I399:N400"/>
    <mergeCell ref="O399:T400"/>
    <mergeCell ref="U399:Z400"/>
    <mergeCell ref="AA399:AA400"/>
    <mergeCell ref="AC399:AD400"/>
    <mergeCell ref="B396:B404"/>
    <mergeCell ref="C398:D400"/>
    <mergeCell ref="E398:H398"/>
    <mergeCell ref="I398:N398"/>
    <mergeCell ref="O398:T398"/>
    <mergeCell ref="C402:D404"/>
    <mergeCell ref="E402:H402"/>
    <mergeCell ref="I402:N402"/>
    <mergeCell ref="O402:T402"/>
    <mergeCell ref="AA407:AA409"/>
    <mergeCell ref="AC407:AD407"/>
    <mergeCell ref="B410:B418"/>
    <mergeCell ref="C412:D414"/>
    <mergeCell ref="E412:H412"/>
    <mergeCell ref="I412:N412"/>
    <mergeCell ref="O412:T412"/>
    <mergeCell ref="U412:Z412"/>
    <mergeCell ref="AC412:AD412"/>
    <mergeCell ref="E413:H414"/>
    <mergeCell ref="I413:N414"/>
    <mergeCell ref="O413:T414"/>
    <mergeCell ref="U413:Z414"/>
    <mergeCell ref="AA413:AA414"/>
    <mergeCell ref="AC413:AD414"/>
    <mergeCell ref="C416:D418"/>
    <mergeCell ref="B407:B409"/>
    <mergeCell ref="C407:C409"/>
    <mergeCell ref="D407:D409"/>
    <mergeCell ref="E407:E409"/>
    <mergeCell ref="F407:Z407"/>
    <mergeCell ref="AC417:AD418"/>
    <mergeCell ref="B420:B422"/>
    <mergeCell ref="C420:C422"/>
    <mergeCell ref="D420:D422"/>
    <mergeCell ref="E420:E422"/>
    <mergeCell ref="F420:Z420"/>
    <mergeCell ref="AA420:AA422"/>
    <mergeCell ref="E417:H418"/>
    <mergeCell ref="I417:N418"/>
    <mergeCell ref="O417:T418"/>
    <mergeCell ref="U417:Z418"/>
    <mergeCell ref="AA417:AA418"/>
    <mergeCell ref="E416:H416"/>
    <mergeCell ref="I416:N416"/>
    <mergeCell ref="O416:T416"/>
    <mergeCell ref="U416:Z416"/>
    <mergeCell ref="AC416:AD416"/>
    <mergeCell ref="U429:Z429"/>
    <mergeCell ref="AC429:AD429"/>
    <mergeCell ref="E430:H431"/>
    <mergeCell ref="I430:N431"/>
    <mergeCell ref="O430:T431"/>
    <mergeCell ref="U430:Z431"/>
    <mergeCell ref="AA430:AA431"/>
    <mergeCell ref="AC430:AD431"/>
    <mergeCell ref="U425:Z425"/>
    <mergeCell ref="AC425:AD425"/>
    <mergeCell ref="E426:H427"/>
    <mergeCell ref="I426:N427"/>
    <mergeCell ref="O426:T427"/>
    <mergeCell ref="U426:Z427"/>
    <mergeCell ref="AA426:AA427"/>
    <mergeCell ref="AC426:AD427"/>
    <mergeCell ref="B423:B431"/>
    <mergeCell ref="C425:D427"/>
    <mergeCell ref="E425:H425"/>
    <mergeCell ref="I425:N425"/>
    <mergeCell ref="O425:T425"/>
    <mergeCell ref="C429:D431"/>
    <mergeCell ref="E429:H429"/>
    <mergeCell ref="I429:N429"/>
    <mergeCell ref="O429:T429"/>
  </mergeCells>
  <pageMargins left="0.7" right="0.7" top="0.75" bottom="0.75" header="0.3" footer="0.3"/>
  <pageSetup paperSize="9" scal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2026-05-05T14:34:27Z</dcterms:modified>
</cp:coreProperties>
</file>